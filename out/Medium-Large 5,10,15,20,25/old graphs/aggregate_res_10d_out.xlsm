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iuli\Documents\Uni\Tesi\Code\DRUBER\out\Medium-Large 5,10,15,20,25\"/>
    </mc:Choice>
  </mc:AlternateContent>
  <xr:revisionPtr revIDLastSave="0" documentId="13_ncr:1_{92F4B9EE-CB24-420F-BF0E-3CE89C6CFF96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aggregate_res_10d_o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7" i="1" l="1"/>
  <c r="Z16" i="1"/>
  <c r="Z15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2" i="1"/>
  <c r="L58" i="1"/>
  <c r="M58" i="1" s="1"/>
  <c r="L54" i="1"/>
  <c r="M54" i="1" s="1"/>
  <c r="L50" i="1"/>
  <c r="M50" i="1" s="1"/>
  <c r="L46" i="1"/>
  <c r="M46" i="1" s="1"/>
  <c r="L42" i="1"/>
  <c r="M42" i="1" s="1"/>
  <c r="L38" i="1"/>
  <c r="M38" i="1" s="1"/>
  <c r="L34" i="1"/>
  <c r="M34" i="1" s="1"/>
  <c r="L26" i="1"/>
  <c r="M26" i="1" s="1"/>
  <c r="L22" i="1"/>
  <c r="M22" i="1" s="1"/>
  <c r="L18" i="1"/>
  <c r="M18" i="1" s="1"/>
  <c r="L14" i="1"/>
  <c r="M14" i="1" s="1"/>
  <c r="L10" i="1"/>
  <c r="M10" i="1" s="1"/>
  <c r="L6" i="1"/>
  <c r="M6" i="1" s="1"/>
  <c r="L3" i="1"/>
  <c r="L2" i="1"/>
  <c r="M2" i="1" s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L19" i="1" s="1"/>
  <c r="J20" i="1"/>
  <c r="J21" i="1"/>
  <c r="J22" i="1"/>
  <c r="J23" i="1"/>
  <c r="J24" i="1"/>
  <c r="J25" i="1"/>
  <c r="J26" i="1"/>
  <c r="J27" i="1"/>
  <c r="L27" i="1" s="1"/>
  <c r="J28" i="1"/>
  <c r="J29" i="1"/>
  <c r="J34" i="1"/>
  <c r="J35" i="1"/>
  <c r="J36" i="1"/>
  <c r="J37" i="1"/>
  <c r="J38" i="1"/>
  <c r="J39" i="1"/>
  <c r="L39" i="1" s="1"/>
  <c r="J40" i="1"/>
  <c r="J41" i="1"/>
  <c r="J42" i="1"/>
  <c r="J43" i="1"/>
  <c r="J44" i="1"/>
  <c r="J45" i="1"/>
  <c r="J46" i="1"/>
  <c r="J47" i="1"/>
  <c r="L47" i="1" s="1"/>
  <c r="J48" i="1"/>
  <c r="J49" i="1"/>
  <c r="J50" i="1"/>
  <c r="J51" i="1"/>
  <c r="J52" i="1"/>
  <c r="J53" i="1"/>
  <c r="J54" i="1"/>
  <c r="J55" i="1"/>
  <c r="L55" i="1" s="1"/>
  <c r="J56" i="1"/>
  <c r="J57" i="1"/>
  <c r="J58" i="1"/>
  <c r="J59" i="1"/>
  <c r="J60" i="1"/>
  <c r="J61" i="1"/>
  <c r="L30" i="1"/>
  <c r="M30" i="1" s="1"/>
  <c r="J31" i="1"/>
  <c r="L31" i="1" s="1"/>
  <c r="J32" i="1"/>
  <c r="J33" i="1"/>
  <c r="J30" i="1"/>
  <c r="H5" i="1"/>
  <c r="H3" i="1"/>
  <c r="H4" i="1"/>
  <c r="H6" i="1"/>
  <c r="H9" i="1"/>
  <c r="H7" i="1"/>
  <c r="H8" i="1"/>
  <c r="H10" i="1"/>
  <c r="H13" i="1"/>
  <c r="H11" i="1"/>
  <c r="H12" i="1"/>
  <c r="H14" i="1"/>
  <c r="H17" i="1"/>
  <c r="H15" i="1"/>
  <c r="H16" i="1"/>
  <c r="H18" i="1"/>
  <c r="H21" i="1"/>
  <c r="H19" i="1"/>
  <c r="H20" i="1"/>
  <c r="H22" i="1"/>
  <c r="H25" i="1"/>
  <c r="H23" i="1"/>
  <c r="H24" i="1"/>
  <c r="H26" i="1"/>
  <c r="H29" i="1"/>
  <c r="H27" i="1"/>
  <c r="H28" i="1"/>
  <c r="H30" i="1"/>
  <c r="H33" i="1"/>
  <c r="H31" i="1"/>
  <c r="H32" i="1"/>
  <c r="H34" i="1"/>
  <c r="H37" i="1"/>
  <c r="H35" i="1"/>
  <c r="H36" i="1"/>
  <c r="H38" i="1"/>
  <c r="H41" i="1"/>
  <c r="H39" i="1"/>
  <c r="H40" i="1"/>
  <c r="H42" i="1"/>
  <c r="H45" i="1"/>
  <c r="H43" i="1"/>
  <c r="H44" i="1"/>
  <c r="H46" i="1"/>
  <c r="H49" i="1"/>
  <c r="H47" i="1"/>
  <c r="H48" i="1"/>
  <c r="H50" i="1"/>
  <c r="H53" i="1"/>
  <c r="H51" i="1"/>
  <c r="H52" i="1"/>
  <c r="H54" i="1"/>
  <c r="H57" i="1"/>
  <c r="H55" i="1"/>
  <c r="H56" i="1"/>
  <c r="H58" i="1"/>
  <c r="H61" i="1"/>
  <c r="H59" i="1"/>
  <c r="H60" i="1"/>
  <c r="H2" i="1"/>
  <c r="M3" i="1" l="1"/>
  <c r="M47" i="1"/>
  <c r="M39" i="1"/>
  <c r="M27" i="1"/>
  <c r="M19" i="1"/>
  <c r="M31" i="1"/>
  <c r="L7" i="1"/>
  <c r="M7" i="1" s="1"/>
  <c r="M55" i="1"/>
  <c r="L59" i="1"/>
  <c r="M59" i="1" s="1"/>
  <c r="L35" i="1"/>
  <c r="M35" i="1" s="1"/>
  <c r="L15" i="1"/>
  <c r="M15" i="1" s="1"/>
  <c r="L43" i="1"/>
  <c r="M43" i="1" s="1"/>
  <c r="L23" i="1"/>
  <c r="M23" i="1" s="1"/>
  <c r="L51" i="1"/>
  <c r="M51" i="1" s="1"/>
  <c r="L11" i="1"/>
  <c r="M11" i="1" s="1"/>
</calcChain>
</file>

<file path=xl/sharedStrings.xml><?xml version="1.0" encoding="utf-8"?>
<sst xmlns="http://schemas.openxmlformats.org/spreadsheetml/2006/main" count="75" uniqueCount="19">
  <si>
    <t>ndrones</t>
  </si>
  <si>
    <t>algorithm</t>
  </si>
  <si>
    <t>completion_time</t>
  </si>
  <si>
    <t>GREEDY</t>
  </si>
  <si>
    <t>Fly</t>
  </si>
  <si>
    <t>Battery Replacement</t>
  </si>
  <si>
    <t>(un)Load</t>
  </si>
  <si>
    <t>Wait</t>
  </si>
  <si>
    <t>Unused</t>
  </si>
  <si>
    <t>LS-BFSOPT</t>
  </si>
  <si>
    <t>LS-HC</t>
  </si>
  <si>
    <t>LS-LB</t>
  </si>
  <si>
    <t xml:space="preserve">LS solutions have CT 12% faster than GREEDY </t>
  </si>
  <si>
    <t xml:space="preserve">LS solutions have 4% more DRONE UTILIZATION  than GREEDY </t>
  </si>
  <si>
    <t>utilization = fly + swap + (un)load</t>
  </si>
  <si>
    <t>Fleet Size</t>
  </si>
  <si>
    <t>Completion time difference</t>
  </si>
  <si>
    <t>Utilization difference</t>
  </si>
  <si>
    <t>10 Deliveries - For each scenario times are normalized with respect to the completion time of the greedy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</si>
</sst>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595959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4" borderId="0" xfId="0" applyFill="1"/>
    <xf numFmtId="9" fontId="0" fillId="0" borderId="0" xfId="1" applyFont="1"/>
    <xf numFmtId="0" fontId="18" fillId="0" borderId="0" xfId="0" applyFont="1" applyAlignment="1">
      <alignment horizontal="center" vertical="center" readingOrder="1"/>
    </xf>
    <xf numFmtId="0" fontId="0" fillId="35" borderId="0" xfId="0" applyFill="1"/>
    <xf numFmtId="9" fontId="0" fillId="35" borderId="0" xfId="1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aggregate_res_10d_out!$D$1</c:f>
              <c:strCache>
                <c:ptCount val="1"/>
                <c:pt idx="0">
                  <c:v>Fly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aggregate_res_10d_out!$A$2:$B$61</c:f>
              <c:multiLvlStrCache>
                <c:ptCount val="60"/>
                <c:lvl>
                  <c:pt idx="0">
                    <c:v>GREEDY</c:v>
                  </c:pt>
                  <c:pt idx="1">
                    <c:v>LS-HC</c:v>
                  </c:pt>
                  <c:pt idx="2">
                    <c:v>LS-LB</c:v>
                  </c:pt>
                  <c:pt idx="3">
                    <c:v>LS-BFSOPT</c:v>
                  </c:pt>
                  <c:pt idx="4">
                    <c:v>GREEDY</c:v>
                  </c:pt>
                  <c:pt idx="5">
                    <c:v>LS-HC</c:v>
                  </c:pt>
                  <c:pt idx="6">
                    <c:v>LS-LB</c:v>
                  </c:pt>
                  <c:pt idx="7">
                    <c:v>LS-BFSOPT</c:v>
                  </c:pt>
                  <c:pt idx="8">
                    <c:v>GREEDY</c:v>
                  </c:pt>
                  <c:pt idx="9">
                    <c:v>LS-HC</c:v>
                  </c:pt>
                  <c:pt idx="10">
                    <c:v>LS-LB</c:v>
                  </c:pt>
                  <c:pt idx="11">
                    <c:v>LS-BFSOPT</c:v>
                  </c:pt>
                  <c:pt idx="12">
                    <c:v>GREEDY</c:v>
                  </c:pt>
                  <c:pt idx="13">
                    <c:v>LS-HC</c:v>
                  </c:pt>
                  <c:pt idx="14">
                    <c:v>LS-LB</c:v>
                  </c:pt>
                  <c:pt idx="15">
                    <c:v>LS-BFSOPT</c:v>
                  </c:pt>
                  <c:pt idx="16">
                    <c:v>GREEDY</c:v>
                  </c:pt>
                  <c:pt idx="17">
                    <c:v>LS-HC</c:v>
                  </c:pt>
                  <c:pt idx="18">
                    <c:v>LS-LB</c:v>
                  </c:pt>
                  <c:pt idx="19">
                    <c:v>LS-BFSOPT</c:v>
                  </c:pt>
                  <c:pt idx="20">
                    <c:v>GREEDY</c:v>
                  </c:pt>
                  <c:pt idx="21">
                    <c:v>LS-HC</c:v>
                  </c:pt>
                  <c:pt idx="22">
                    <c:v>LS-LB</c:v>
                  </c:pt>
                  <c:pt idx="23">
                    <c:v>LS-BFSOPT</c:v>
                  </c:pt>
                  <c:pt idx="24">
                    <c:v>GREEDY</c:v>
                  </c:pt>
                  <c:pt idx="25">
                    <c:v>LS-HC</c:v>
                  </c:pt>
                  <c:pt idx="26">
                    <c:v>LS-LB</c:v>
                  </c:pt>
                  <c:pt idx="27">
                    <c:v>LS-BFSOPT</c:v>
                  </c:pt>
                  <c:pt idx="28">
                    <c:v>GREEDY</c:v>
                  </c:pt>
                  <c:pt idx="29">
                    <c:v>LS-HC</c:v>
                  </c:pt>
                  <c:pt idx="30">
                    <c:v>LS-LB</c:v>
                  </c:pt>
                  <c:pt idx="31">
                    <c:v>LS-BFSOPT</c:v>
                  </c:pt>
                  <c:pt idx="32">
                    <c:v>GREEDY</c:v>
                  </c:pt>
                  <c:pt idx="33">
                    <c:v>LS-HC</c:v>
                  </c:pt>
                  <c:pt idx="34">
                    <c:v>LS-LB</c:v>
                  </c:pt>
                  <c:pt idx="35">
                    <c:v>LS-BFSOPT</c:v>
                  </c:pt>
                  <c:pt idx="36">
                    <c:v>GREEDY</c:v>
                  </c:pt>
                  <c:pt idx="37">
                    <c:v>LS-HC</c:v>
                  </c:pt>
                  <c:pt idx="38">
                    <c:v>LS-LB</c:v>
                  </c:pt>
                  <c:pt idx="39">
                    <c:v>LS-BFSOPT</c:v>
                  </c:pt>
                  <c:pt idx="40">
                    <c:v>GREEDY</c:v>
                  </c:pt>
                  <c:pt idx="41">
                    <c:v>LS-HC</c:v>
                  </c:pt>
                  <c:pt idx="42">
                    <c:v>LS-LB</c:v>
                  </c:pt>
                  <c:pt idx="43">
                    <c:v>LS-BFSOPT</c:v>
                  </c:pt>
                  <c:pt idx="44">
                    <c:v>GREEDY</c:v>
                  </c:pt>
                  <c:pt idx="45">
                    <c:v>LS-HC</c:v>
                  </c:pt>
                  <c:pt idx="46">
                    <c:v>LS-LB</c:v>
                  </c:pt>
                  <c:pt idx="47">
                    <c:v>LS-BFSOPT</c:v>
                  </c:pt>
                  <c:pt idx="48">
                    <c:v>GREEDY</c:v>
                  </c:pt>
                  <c:pt idx="49">
                    <c:v>LS-HC</c:v>
                  </c:pt>
                  <c:pt idx="50">
                    <c:v>LS-LB</c:v>
                  </c:pt>
                  <c:pt idx="51">
                    <c:v>LS-BFSOPT</c:v>
                  </c:pt>
                  <c:pt idx="52">
                    <c:v>GREEDY</c:v>
                  </c:pt>
                  <c:pt idx="53">
                    <c:v>LS-HC</c:v>
                  </c:pt>
                  <c:pt idx="54">
                    <c:v>LS-LB</c:v>
                  </c:pt>
                  <c:pt idx="55">
                    <c:v>LS-BFSOPT</c:v>
                  </c:pt>
                  <c:pt idx="56">
                    <c:v>GREEDY</c:v>
                  </c:pt>
                  <c:pt idx="57">
                    <c:v>LS-HC</c:v>
                  </c:pt>
                  <c:pt idx="58">
                    <c:v>LS-LB</c:v>
                  </c:pt>
                  <c:pt idx="59">
                    <c:v>LS-BFSOPT</c:v>
                  </c:pt>
                </c:lvl>
                <c:lvl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4</c:v>
                  </c:pt>
                  <c:pt idx="5">
                    <c:v>4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6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8</c:v>
                  </c:pt>
                  <c:pt idx="15">
                    <c:v>8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14</c:v>
                  </c:pt>
                  <c:pt idx="25">
                    <c:v>14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16</c:v>
                  </c:pt>
                  <c:pt idx="29">
                    <c:v>16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18</c:v>
                  </c:pt>
                  <c:pt idx="33">
                    <c:v>18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20</c:v>
                  </c:pt>
                  <c:pt idx="37">
                    <c:v>20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22</c:v>
                  </c:pt>
                  <c:pt idx="41">
                    <c:v>22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26</c:v>
                  </c:pt>
                  <c:pt idx="49">
                    <c:v>26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28</c:v>
                  </c:pt>
                  <c:pt idx="53">
                    <c:v>28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30</c:v>
                  </c:pt>
                  <c:pt idx="57">
                    <c:v>30</c:v>
                  </c:pt>
                  <c:pt idx="58">
                    <c:v>30</c:v>
                  </c:pt>
                  <c:pt idx="59">
                    <c:v>30</c:v>
                  </c:pt>
                </c:lvl>
              </c:multiLvlStrCache>
            </c:multiLvlStrRef>
          </c:cat>
          <c:val>
            <c:numRef>
              <c:f>aggregate_res_10d_out!$D$2:$D$61</c:f>
              <c:numCache>
                <c:formatCode>General</c:formatCode>
                <c:ptCount val="60"/>
                <c:pt idx="0">
                  <c:v>0.88400296827026204</c:v>
                </c:pt>
                <c:pt idx="1">
                  <c:v>0.89524049804997197</c:v>
                </c:pt>
                <c:pt idx="2">
                  <c:v>0.89518506089613903</c:v>
                </c:pt>
                <c:pt idx="3">
                  <c:v>0.89374669762533498</c:v>
                </c:pt>
                <c:pt idx="4">
                  <c:v>0.75048766260195998</c:v>
                </c:pt>
                <c:pt idx="5">
                  <c:v>0.78745473136218203</c:v>
                </c:pt>
                <c:pt idx="6">
                  <c:v>0.78651355432926195</c:v>
                </c:pt>
                <c:pt idx="7">
                  <c:v>0.78968509752785199</c:v>
                </c:pt>
                <c:pt idx="8">
                  <c:v>0.65368311267853596</c:v>
                </c:pt>
                <c:pt idx="9">
                  <c:v>0.70325671116063004</c:v>
                </c:pt>
                <c:pt idx="10">
                  <c:v>0.70104833100811903</c:v>
                </c:pt>
                <c:pt idx="11">
                  <c:v>0.71067045305107301</c:v>
                </c:pt>
                <c:pt idx="12">
                  <c:v>0.57816914510296202</c:v>
                </c:pt>
                <c:pt idx="13">
                  <c:v>0.62900361729999998</c:v>
                </c:pt>
                <c:pt idx="14">
                  <c:v>0.62747921349823799</c:v>
                </c:pt>
                <c:pt idx="15">
                  <c:v>0.630744896283158</c:v>
                </c:pt>
                <c:pt idx="16">
                  <c:v>0.50147047988656501</c:v>
                </c:pt>
                <c:pt idx="17">
                  <c:v>0.55469883275229104</c:v>
                </c:pt>
                <c:pt idx="18">
                  <c:v>0.55786441951497301</c:v>
                </c:pt>
                <c:pt idx="19">
                  <c:v>0.5704539526172</c:v>
                </c:pt>
                <c:pt idx="20">
                  <c:v>0.44749082673655299</c:v>
                </c:pt>
                <c:pt idx="21">
                  <c:v>0.49242300969987302</c:v>
                </c:pt>
                <c:pt idx="22">
                  <c:v>0.49351782308069903</c:v>
                </c:pt>
                <c:pt idx="23">
                  <c:v>0.51066148483901597</c:v>
                </c:pt>
                <c:pt idx="24">
                  <c:v>0.38429431607090703</c:v>
                </c:pt>
                <c:pt idx="25">
                  <c:v>0.42137603580520999</c:v>
                </c:pt>
                <c:pt idx="26">
                  <c:v>0.419444977903843</c:v>
                </c:pt>
                <c:pt idx="27">
                  <c:v>0.43072855508642799</c:v>
                </c:pt>
                <c:pt idx="28">
                  <c:v>0.33306831422836097</c:v>
                </c:pt>
                <c:pt idx="29">
                  <c:v>0.36796620850565598</c:v>
                </c:pt>
                <c:pt idx="30">
                  <c:v>0.36835464570210702</c:v>
                </c:pt>
                <c:pt idx="31">
                  <c:v>0.38213831405923698</c:v>
                </c:pt>
                <c:pt idx="32">
                  <c:v>0.29967512740232999</c:v>
                </c:pt>
                <c:pt idx="33">
                  <c:v>0.33313914972007602</c:v>
                </c:pt>
                <c:pt idx="34">
                  <c:v>0.332843707420936</c:v>
                </c:pt>
                <c:pt idx="35">
                  <c:v>0.33904483932474699</c:v>
                </c:pt>
                <c:pt idx="36">
                  <c:v>0.271895843024405</c:v>
                </c:pt>
                <c:pt idx="37">
                  <c:v>0.30138675181110702</c:v>
                </c:pt>
                <c:pt idx="38">
                  <c:v>0.30136917909525601</c:v>
                </c:pt>
                <c:pt idx="39">
                  <c:v>0.30806157709586801</c:v>
                </c:pt>
                <c:pt idx="40">
                  <c:v>0.24543752156409099</c:v>
                </c:pt>
                <c:pt idx="41">
                  <c:v>0.26961272041920498</c:v>
                </c:pt>
                <c:pt idx="42">
                  <c:v>0.26961272041920498</c:v>
                </c:pt>
                <c:pt idx="43">
                  <c:v>0.27400640066610199</c:v>
                </c:pt>
                <c:pt idx="44">
                  <c:v>0.22361213203638</c:v>
                </c:pt>
                <c:pt idx="45">
                  <c:v>0.24525645945407401</c:v>
                </c:pt>
                <c:pt idx="46">
                  <c:v>0.24502150554053401</c:v>
                </c:pt>
                <c:pt idx="47">
                  <c:v>0.25212524821022098</c:v>
                </c:pt>
                <c:pt idx="48">
                  <c:v>0.20777127456991601</c:v>
                </c:pt>
                <c:pt idx="49">
                  <c:v>0.227025806616663</c:v>
                </c:pt>
                <c:pt idx="50">
                  <c:v>0.22679764756353499</c:v>
                </c:pt>
                <c:pt idx="51">
                  <c:v>0.230728581677034</c:v>
                </c:pt>
                <c:pt idx="52">
                  <c:v>0.19330997656780499</c:v>
                </c:pt>
                <c:pt idx="53">
                  <c:v>0.21006540434733101</c:v>
                </c:pt>
                <c:pt idx="54">
                  <c:v>0.21002151039445</c:v>
                </c:pt>
                <c:pt idx="55">
                  <c:v>0.21206683105482499</c:v>
                </c:pt>
                <c:pt idx="56">
                  <c:v>0.18148260848401301</c:v>
                </c:pt>
                <c:pt idx="57">
                  <c:v>0.19715634120691</c:v>
                </c:pt>
                <c:pt idx="58">
                  <c:v>0.196957488558756</c:v>
                </c:pt>
                <c:pt idx="59">
                  <c:v>0.202157328064172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1-4103-8C8F-6CB19DAE1087}"/>
            </c:ext>
          </c:extLst>
        </c:ser>
        <c:ser>
          <c:idx val="1"/>
          <c:order val="1"/>
          <c:tx>
            <c:strRef>
              <c:f>aggregate_res_10d_out!$E$1</c:f>
              <c:strCache>
                <c:ptCount val="1"/>
                <c:pt idx="0">
                  <c:v>Battery Replacement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aggregate_res_10d_out!$A$2:$B$61</c:f>
              <c:multiLvlStrCache>
                <c:ptCount val="60"/>
                <c:lvl>
                  <c:pt idx="0">
                    <c:v>GREEDY</c:v>
                  </c:pt>
                  <c:pt idx="1">
                    <c:v>LS-HC</c:v>
                  </c:pt>
                  <c:pt idx="2">
                    <c:v>LS-LB</c:v>
                  </c:pt>
                  <c:pt idx="3">
                    <c:v>LS-BFSOPT</c:v>
                  </c:pt>
                  <c:pt idx="4">
                    <c:v>GREEDY</c:v>
                  </c:pt>
                  <c:pt idx="5">
                    <c:v>LS-HC</c:v>
                  </c:pt>
                  <c:pt idx="6">
                    <c:v>LS-LB</c:v>
                  </c:pt>
                  <c:pt idx="7">
                    <c:v>LS-BFSOPT</c:v>
                  </c:pt>
                  <c:pt idx="8">
                    <c:v>GREEDY</c:v>
                  </c:pt>
                  <c:pt idx="9">
                    <c:v>LS-HC</c:v>
                  </c:pt>
                  <c:pt idx="10">
                    <c:v>LS-LB</c:v>
                  </c:pt>
                  <c:pt idx="11">
                    <c:v>LS-BFSOPT</c:v>
                  </c:pt>
                  <c:pt idx="12">
                    <c:v>GREEDY</c:v>
                  </c:pt>
                  <c:pt idx="13">
                    <c:v>LS-HC</c:v>
                  </c:pt>
                  <c:pt idx="14">
                    <c:v>LS-LB</c:v>
                  </c:pt>
                  <c:pt idx="15">
                    <c:v>LS-BFSOPT</c:v>
                  </c:pt>
                  <c:pt idx="16">
                    <c:v>GREEDY</c:v>
                  </c:pt>
                  <c:pt idx="17">
                    <c:v>LS-HC</c:v>
                  </c:pt>
                  <c:pt idx="18">
                    <c:v>LS-LB</c:v>
                  </c:pt>
                  <c:pt idx="19">
                    <c:v>LS-BFSOPT</c:v>
                  </c:pt>
                  <c:pt idx="20">
                    <c:v>GREEDY</c:v>
                  </c:pt>
                  <c:pt idx="21">
                    <c:v>LS-HC</c:v>
                  </c:pt>
                  <c:pt idx="22">
                    <c:v>LS-LB</c:v>
                  </c:pt>
                  <c:pt idx="23">
                    <c:v>LS-BFSOPT</c:v>
                  </c:pt>
                  <c:pt idx="24">
                    <c:v>GREEDY</c:v>
                  </c:pt>
                  <c:pt idx="25">
                    <c:v>LS-HC</c:v>
                  </c:pt>
                  <c:pt idx="26">
                    <c:v>LS-LB</c:v>
                  </c:pt>
                  <c:pt idx="27">
                    <c:v>LS-BFSOPT</c:v>
                  </c:pt>
                  <c:pt idx="28">
                    <c:v>GREEDY</c:v>
                  </c:pt>
                  <c:pt idx="29">
                    <c:v>LS-HC</c:v>
                  </c:pt>
                  <c:pt idx="30">
                    <c:v>LS-LB</c:v>
                  </c:pt>
                  <c:pt idx="31">
                    <c:v>LS-BFSOPT</c:v>
                  </c:pt>
                  <c:pt idx="32">
                    <c:v>GREEDY</c:v>
                  </c:pt>
                  <c:pt idx="33">
                    <c:v>LS-HC</c:v>
                  </c:pt>
                  <c:pt idx="34">
                    <c:v>LS-LB</c:v>
                  </c:pt>
                  <c:pt idx="35">
                    <c:v>LS-BFSOPT</c:v>
                  </c:pt>
                  <c:pt idx="36">
                    <c:v>GREEDY</c:v>
                  </c:pt>
                  <c:pt idx="37">
                    <c:v>LS-HC</c:v>
                  </c:pt>
                  <c:pt idx="38">
                    <c:v>LS-LB</c:v>
                  </c:pt>
                  <c:pt idx="39">
                    <c:v>LS-BFSOPT</c:v>
                  </c:pt>
                  <c:pt idx="40">
                    <c:v>GREEDY</c:v>
                  </c:pt>
                  <c:pt idx="41">
                    <c:v>LS-HC</c:v>
                  </c:pt>
                  <c:pt idx="42">
                    <c:v>LS-LB</c:v>
                  </c:pt>
                  <c:pt idx="43">
                    <c:v>LS-BFSOPT</c:v>
                  </c:pt>
                  <c:pt idx="44">
                    <c:v>GREEDY</c:v>
                  </c:pt>
                  <c:pt idx="45">
                    <c:v>LS-HC</c:v>
                  </c:pt>
                  <c:pt idx="46">
                    <c:v>LS-LB</c:v>
                  </c:pt>
                  <c:pt idx="47">
                    <c:v>LS-BFSOPT</c:v>
                  </c:pt>
                  <c:pt idx="48">
                    <c:v>GREEDY</c:v>
                  </c:pt>
                  <c:pt idx="49">
                    <c:v>LS-HC</c:v>
                  </c:pt>
                  <c:pt idx="50">
                    <c:v>LS-LB</c:v>
                  </c:pt>
                  <c:pt idx="51">
                    <c:v>LS-BFSOPT</c:v>
                  </c:pt>
                  <c:pt idx="52">
                    <c:v>GREEDY</c:v>
                  </c:pt>
                  <c:pt idx="53">
                    <c:v>LS-HC</c:v>
                  </c:pt>
                  <c:pt idx="54">
                    <c:v>LS-LB</c:v>
                  </c:pt>
                  <c:pt idx="55">
                    <c:v>LS-BFSOPT</c:v>
                  </c:pt>
                  <c:pt idx="56">
                    <c:v>GREEDY</c:v>
                  </c:pt>
                  <c:pt idx="57">
                    <c:v>LS-HC</c:v>
                  </c:pt>
                  <c:pt idx="58">
                    <c:v>LS-LB</c:v>
                  </c:pt>
                  <c:pt idx="59">
                    <c:v>LS-BFSOPT</c:v>
                  </c:pt>
                </c:lvl>
                <c:lvl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4</c:v>
                  </c:pt>
                  <c:pt idx="5">
                    <c:v>4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6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8</c:v>
                  </c:pt>
                  <c:pt idx="15">
                    <c:v>8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14</c:v>
                  </c:pt>
                  <c:pt idx="25">
                    <c:v>14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16</c:v>
                  </c:pt>
                  <c:pt idx="29">
                    <c:v>16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18</c:v>
                  </c:pt>
                  <c:pt idx="33">
                    <c:v>18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20</c:v>
                  </c:pt>
                  <c:pt idx="37">
                    <c:v>20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22</c:v>
                  </c:pt>
                  <c:pt idx="41">
                    <c:v>22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26</c:v>
                  </c:pt>
                  <c:pt idx="49">
                    <c:v>26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28</c:v>
                  </c:pt>
                  <c:pt idx="53">
                    <c:v>28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30</c:v>
                  </c:pt>
                  <c:pt idx="57">
                    <c:v>30</c:v>
                  </c:pt>
                  <c:pt idx="58">
                    <c:v>30</c:v>
                  </c:pt>
                  <c:pt idx="59">
                    <c:v>30</c:v>
                  </c:pt>
                </c:lvl>
              </c:multiLvlStrCache>
            </c:multiLvlStrRef>
          </c:cat>
          <c:val>
            <c:numRef>
              <c:f>aggregate_res_10d_out!$E$2:$E$61</c:f>
              <c:numCache>
                <c:formatCode>General</c:formatCode>
                <c:ptCount val="60"/>
                <c:pt idx="0">
                  <c:v>2.2173288381033499E-2</c:v>
                </c:pt>
                <c:pt idx="1">
                  <c:v>2.2342808936225599E-2</c:v>
                </c:pt>
                <c:pt idx="2">
                  <c:v>2.2275000716228201E-2</c:v>
                </c:pt>
                <c:pt idx="3">
                  <c:v>2.23089048262269E-2</c:v>
                </c:pt>
                <c:pt idx="4">
                  <c:v>1.7166162890171699E-2</c:v>
                </c:pt>
                <c:pt idx="5">
                  <c:v>1.7392033459033399E-2</c:v>
                </c:pt>
                <c:pt idx="6">
                  <c:v>1.7467323639117301E-2</c:v>
                </c:pt>
                <c:pt idx="7">
                  <c:v>1.75426138287379E-2</c:v>
                </c:pt>
                <c:pt idx="8">
                  <c:v>1.3060444781890401E-2</c:v>
                </c:pt>
                <c:pt idx="9">
                  <c:v>1.36155136774167E-2</c:v>
                </c:pt>
                <c:pt idx="10">
                  <c:v>1.34522581154146E-2</c:v>
                </c:pt>
                <c:pt idx="11">
                  <c:v>1.37134670171647E-2</c:v>
                </c:pt>
                <c:pt idx="12">
                  <c:v>1.0264362422349E-2</c:v>
                </c:pt>
                <c:pt idx="13">
                  <c:v>1.05003247772004E-2</c:v>
                </c:pt>
                <c:pt idx="14">
                  <c:v>1.05003247772004E-2</c:v>
                </c:pt>
                <c:pt idx="15">
                  <c:v>1.0303689481490901E-2</c:v>
                </c:pt>
                <c:pt idx="16">
                  <c:v>8.2970021157078092E-3</c:v>
                </c:pt>
                <c:pt idx="17">
                  <c:v>7.6996179646525997E-3</c:v>
                </c:pt>
                <c:pt idx="18">
                  <c:v>7.5668659305132002E-3</c:v>
                </c:pt>
                <c:pt idx="19">
                  <c:v>7.4009258874102798E-3</c:v>
                </c:pt>
                <c:pt idx="20">
                  <c:v>6.9873287966497498E-3</c:v>
                </c:pt>
                <c:pt idx="21">
                  <c:v>6.0235593071326504E-3</c:v>
                </c:pt>
                <c:pt idx="22">
                  <c:v>5.9994650695658399E-3</c:v>
                </c:pt>
                <c:pt idx="23">
                  <c:v>5.9753708319990198E-3</c:v>
                </c:pt>
                <c:pt idx="24">
                  <c:v>6.1161882708825497E-3</c:v>
                </c:pt>
                <c:pt idx="25">
                  <c:v>5.21967873109853E-3</c:v>
                </c:pt>
                <c:pt idx="26">
                  <c:v>5.2595230104729102E-3</c:v>
                </c:pt>
                <c:pt idx="27">
                  <c:v>4.8809984018321701E-3</c:v>
                </c:pt>
                <c:pt idx="28">
                  <c:v>5.4674442548262999E-3</c:v>
                </c:pt>
                <c:pt idx="29">
                  <c:v>4.6014825870126699E-3</c:v>
                </c:pt>
                <c:pt idx="30">
                  <c:v>4.6694011489988099E-3</c:v>
                </c:pt>
                <c:pt idx="31">
                  <c:v>4.3807472590635102E-3</c:v>
                </c:pt>
                <c:pt idx="32">
                  <c:v>4.9742641136774103E-3</c:v>
                </c:pt>
                <c:pt idx="33">
                  <c:v>4.0684592853494203E-3</c:v>
                </c:pt>
                <c:pt idx="34">
                  <c:v>4.11451729020178E-3</c:v>
                </c:pt>
                <c:pt idx="35">
                  <c:v>3.8995807003990401E-3</c:v>
                </c:pt>
                <c:pt idx="36">
                  <c:v>4.6527950248215402E-3</c:v>
                </c:pt>
                <c:pt idx="37">
                  <c:v>3.7901187449067399E-3</c:v>
                </c:pt>
                <c:pt idx="38">
                  <c:v>3.7759765100794799E-3</c:v>
                </c:pt>
                <c:pt idx="39">
                  <c:v>3.5779852331045301E-3</c:v>
                </c:pt>
                <c:pt idx="40">
                  <c:v>4.2163807429469501E-3</c:v>
                </c:pt>
                <c:pt idx="41">
                  <c:v>3.4273501618426599E-3</c:v>
                </c:pt>
                <c:pt idx="42">
                  <c:v>3.4273501618426599E-3</c:v>
                </c:pt>
                <c:pt idx="43">
                  <c:v>3.2794054879185198E-3</c:v>
                </c:pt>
                <c:pt idx="44">
                  <c:v>3.8558117579632601E-3</c:v>
                </c:pt>
                <c:pt idx="45">
                  <c:v>3.08464940550305E-3</c:v>
                </c:pt>
                <c:pt idx="46">
                  <c:v>3.08464940550305E-3</c:v>
                </c:pt>
                <c:pt idx="47">
                  <c:v>2.9400564660434299E-3</c:v>
                </c:pt>
                <c:pt idx="48">
                  <c:v>3.5687928348287299E-3</c:v>
                </c:pt>
                <c:pt idx="49">
                  <c:v>2.8784374816591498E-3</c:v>
                </c:pt>
                <c:pt idx="50">
                  <c:v>2.8784374816591498E-3</c:v>
                </c:pt>
                <c:pt idx="51">
                  <c:v>2.7848305073454498E-3</c:v>
                </c:pt>
                <c:pt idx="52">
                  <c:v>3.3028232075742398E-3</c:v>
                </c:pt>
                <c:pt idx="53">
                  <c:v>2.6465634120933102E-3</c:v>
                </c:pt>
                <c:pt idx="54">
                  <c:v>2.6358053117165499E-3</c:v>
                </c:pt>
                <c:pt idx="55">
                  <c:v>2.59277089494806E-3</c:v>
                </c:pt>
                <c:pt idx="56">
                  <c:v>3.1001811535839199E-3</c:v>
                </c:pt>
                <c:pt idx="57">
                  <c:v>2.4577094013080998E-3</c:v>
                </c:pt>
                <c:pt idx="58">
                  <c:v>2.4577094013080998E-3</c:v>
                </c:pt>
                <c:pt idx="59">
                  <c:v>2.3761256880081398E-3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1-4103-8C8F-6CB19DAE1087}"/>
            </c:ext>
          </c:extLst>
        </c:ser>
        <c:ser>
          <c:idx val="2"/>
          <c:order val="2"/>
          <c:tx>
            <c:strRef>
              <c:f>aggregate_res_10d_out!$F$1</c:f>
              <c:strCache>
                <c:ptCount val="1"/>
                <c:pt idx="0">
                  <c:v>(un)Load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aggregate_res_10d_out!$A$2:$B$61</c:f>
              <c:multiLvlStrCache>
                <c:ptCount val="60"/>
                <c:lvl>
                  <c:pt idx="0">
                    <c:v>GREEDY</c:v>
                  </c:pt>
                  <c:pt idx="1">
                    <c:v>LS-HC</c:v>
                  </c:pt>
                  <c:pt idx="2">
                    <c:v>LS-LB</c:v>
                  </c:pt>
                  <c:pt idx="3">
                    <c:v>LS-BFSOPT</c:v>
                  </c:pt>
                  <c:pt idx="4">
                    <c:v>GREEDY</c:v>
                  </c:pt>
                  <c:pt idx="5">
                    <c:v>LS-HC</c:v>
                  </c:pt>
                  <c:pt idx="6">
                    <c:v>LS-LB</c:v>
                  </c:pt>
                  <c:pt idx="7">
                    <c:v>LS-BFSOPT</c:v>
                  </c:pt>
                  <c:pt idx="8">
                    <c:v>GREEDY</c:v>
                  </c:pt>
                  <c:pt idx="9">
                    <c:v>LS-HC</c:v>
                  </c:pt>
                  <c:pt idx="10">
                    <c:v>LS-LB</c:v>
                  </c:pt>
                  <c:pt idx="11">
                    <c:v>LS-BFSOPT</c:v>
                  </c:pt>
                  <c:pt idx="12">
                    <c:v>GREEDY</c:v>
                  </c:pt>
                  <c:pt idx="13">
                    <c:v>LS-HC</c:v>
                  </c:pt>
                  <c:pt idx="14">
                    <c:v>LS-LB</c:v>
                  </c:pt>
                  <c:pt idx="15">
                    <c:v>LS-BFSOPT</c:v>
                  </c:pt>
                  <c:pt idx="16">
                    <c:v>GREEDY</c:v>
                  </c:pt>
                  <c:pt idx="17">
                    <c:v>LS-HC</c:v>
                  </c:pt>
                  <c:pt idx="18">
                    <c:v>LS-LB</c:v>
                  </c:pt>
                  <c:pt idx="19">
                    <c:v>LS-BFSOPT</c:v>
                  </c:pt>
                  <c:pt idx="20">
                    <c:v>GREEDY</c:v>
                  </c:pt>
                  <c:pt idx="21">
                    <c:v>LS-HC</c:v>
                  </c:pt>
                  <c:pt idx="22">
                    <c:v>LS-LB</c:v>
                  </c:pt>
                  <c:pt idx="23">
                    <c:v>LS-BFSOPT</c:v>
                  </c:pt>
                  <c:pt idx="24">
                    <c:v>GREEDY</c:v>
                  </c:pt>
                  <c:pt idx="25">
                    <c:v>LS-HC</c:v>
                  </c:pt>
                  <c:pt idx="26">
                    <c:v>LS-LB</c:v>
                  </c:pt>
                  <c:pt idx="27">
                    <c:v>LS-BFSOPT</c:v>
                  </c:pt>
                  <c:pt idx="28">
                    <c:v>GREEDY</c:v>
                  </c:pt>
                  <c:pt idx="29">
                    <c:v>LS-HC</c:v>
                  </c:pt>
                  <c:pt idx="30">
                    <c:v>LS-LB</c:v>
                  </c:pt>
                  <c:pt idx="31">
                    <c:v>LS-BFSOPT</c:v>
                  </c:pt>
                  <c:pt idx="32">
                    <c:v>GREEDY</c:v>
                  </c:pt>
                  <c:pt idx="33">
                    <c:v>LS-HC</c:v>
                  </c:pt>
                  <c:pt idx="34">
                    <c:v>LS-LB</c:v>
                  </c:pt>
                  <c:pt idx="35">
                    <c:v>LS-BFSOPT</c:v>
                  </c:pt>
                  <c:pt idx="36">
                    <c:v>GREEDY</c:v>
                  </c:pt>
                  <c:pt idx="37">
                    <c:v>LS-HC</c:v>
                  </c:pt>
                  <c:pt idx="38">
                    <c:v>LS-LB</c:v>
                  </c:pt>
                  <c:pt idx="39">
                    <c:v>LS-BFSOPT</c:v>
                  </c:pt>
                  <c:pt idx="40">
                    <c:v>GREEDY</c:v>
                  </c:pt>
                  <c:pt idx="41">
                    <c:v>LS-HC</c:v>
                  </c:pt>
                  <c:pt idx="42">
                    <c:v>LS-LB</c:v>
                  </c:pt>
                  <c:pt idx="43">
                    <c:v>LS-BFSOPT</c:v>
                  </c:pt>
                  <c:pt idx="44">
                    <c:v>GREEDY</c:v>
                  </c:pt>
                  <c:pt idx="45">
                    <c:v>LS-HC</c:v>
                  </c:pt>
                  <c:pt idx="46">
                    <c:v>LS-LB</c:v>
                  </c:pt>
                  <c:pt idx="47">
                    <c:v>LS-BFSOPT</c:v>
                  </c:pt>
                  <c:pt idx="48">
                    <c:v>GREEDY</c:v>
                  </c:pt>
                  <c:pt idx="49">
                    <c:v>LS-HC</c:v>
                  </c:pt>
                  <c:pt idx="50">
                    <c:v>LS-LB</c:v>
                  </c:pt>
                  <c:pt idx="51">
                    <c:v>LS-BFSOPT</c:v>
                  </c:pt>
                  <c:pt idx="52">
                    <c:v>GREEDY</c:v>
                  </c:pt>
                  <c:pt idx="53">
                    <c:v>LS-HC</c:v>
                  </c:pt>
                  <c:pt idx="54">
                    <c:v>LS-LB</c:v>
                  </c:pt>
                  <c:pt idx="55">
                    <c:v>LS-BFSOPT</c:v>
                  </c:pt>
                  <c:pt idx="56">
                    <c:v>GREEDY</c:v>
                  </c:pt>
                  <c:pt idx="57">
                    <c:v>LS-HC</c:v>
                  </c:pt>
                  <c:pt idx="58">
                    <c:v>LS-LB</c:v>
                  </c:pt>
                  <c:pt idx="59">
                    <c:v>LS-BFSOPT</c:v>
                  </c:pt>
                </c:lvl>
                <c:lvl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4</c:v>
                  </c:pt>
                  <c:pt idx="5">
                    <c:v>4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6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8</c:v>
                  </c:pt>
                  <c:pt idx="15">
                    <c:v>8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14</c:v>
                  </c:pt>
                  <c:pt idx="25">
                    <c:v>14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16</c:v>
                  </c:pt>
                  <c:pt idx="29">
                    <c:v>16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18</c:v>
                  </c:pt>
                  <c:pt idx="33">
                    <c:v>18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20</c:v>
                  </c:pt>
                  <c:pt idx="37">
                    <c:v>20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22</c:v>
                  </c:pt>
                  <c:pt idx="41">
                    <c:v>22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26</c:v>
                  </c:pt>
                  <c:pt idx="49">
                    <c:v>26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28</c:v>
                  </c:pt>
                  <c:pt idx="53">
                    <c:v>28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30</c:v>
                  </c:pt>
                  <c:pt idx="57">
                    <c:v>30</c:v>
                  </c:pt>
                  <c:pt idx="58">
                    <c:v>30</c:v>
                  </c:pt>
                  <c:pt idx="59">
                    <c:v>30</c:v>
                  </c:pt>
                </c:lvl>
              </c:multiLvlStrCache>
            </c:multiLvlStrRef>
          </c:cat>
          <c:val>
            <c:numRef>
              <c:f>aggregate_res_10d_out!$F$2:$F$61</c:f>
              <c:numCache>
                <c:formatCode>General</c:formatCode>
                <c:ptCount val="60"/>
                <c:pt idx="0">
                  <c:v>1.03972606075466E-2</c:v>
                </c:pt>
                <c:pt idx="1">
                  <c:v>1.08041099379282E-2</c:v>
                </c:pt>
                <c:pt idx="2">
                  <c:v>1.08945208979248E-2</c:v>
                </c:pt>
                <c:pt idx="3">
                  <c:v>1.10075345979204E-2</c:v>
                </c:pt>
                <c:pt idx="4">
                  <c:v>9.5367571612064994E-3</c:v>
                </c:pt>
                <c:pt idx="5">
                  <c:v>1.0139078668634401E-2</c:v>
                </c:pt>
                <c:pt idx="6">
                  <c:v>1.04151426877065E-2</c:v>
                </c:pt>
                <c:pt idx="7">
                  <c:v>1.05657230669477E-2</c:v>
                </c:pt>
                <c:pt idx="8">
                  <c:v>8.4892933499020606E-3</c:v>
                </c:pt>
                <c:pt idx="9">
                  <c:v>9.3164501720157805E-3</c:v>
                </c:pt>
                <c:pt idx="10">
                  <c:v>9.4035202401596199E-3</c:v>
                </c:pt>
                <c:pt idx="11">
                  <c:v>1.01000775126893E-2</c:v>
                </c:pt>
                <c:pt idx="12">
                  <c:v>7.60323142396229E-3</c:v>
                </c:pt>
                <c:pt idx="13">
                  <c:v>8.2586824091536795E-3</c:v>
                </c:pt>
                <c:pt idx="14">
                  <c:v>8.4159906457212594E-3</c:v>
                </c:pt>
                <c:pt idx="15">
                  <c:v>8.8616973149823197E-3</c:v>
                </c:pt>
                <c:pt idx="16">
                  <c:v>6.8588550829128897E-3</c:v>
                </c:pt>
                <c:pt idx="17">
                  <c:v>7.7881193201739599E-3</c:v>
                </c:pt>
                <c:pt idx="18">
                  <c:v>7.8987460150043397E-3</c:v>
                </c:pt>
                <c:pt idx="19">
                  <c:v>8.6288822019136603E-3</c:v>
                </c:pt>
                <c:pt idx="20">
                  <c:v>6.2644954151668602E-3</c:v>
                </c:pt>
                <c:pt idx="21">
                  <c:v>7.2443333514923E-3</c:v>
                </c:pt>
                <c:pt idx="22">
                  <c:v>7.2282702044523701E-3</c:v>
                </c:pt>
                <c:pt idx="23">
                  <c:v>7.64590477507693E-3</c:v>
                </c:pt>
                <c:pt idx="24">
                  <c:v>5.5782772474203199E-3</c:v>
                </c:pt>
                <c:pt idx="25">
                  <c:v>6.5345604135467802E-3</c:v>
                </c:pt>
                <c:pt idx="26">
                  <c:v>6.4814333117489999E-3</c:v>
                </c:pt>
                <c:pt idx="27">
                  <c:v>6.7869103062293198E-3</c:v>
                </c:pt>
                <c:pt idx="28">
                  <c:v>4.9806945589320698E-3</c:v>
                </c:pt>
                <c:pt idx="29">
                  <c:v>5.9541939507205301E-3</c:v>
                </c:pt>
                <c:pt idx="30">
                  <c:v>5.88627538873439E-3</c:v>
                </c:pt>
                <c:pt idx="31">
                  <c:v>6.0787113146938297E-3</c:v>
                </c:pt>
                <c:pt idx="32">
                  <c:v>4.6057959254928796E-3</c:v>
                </c:pt>
                <c:pt idx="33">
                  <c:v>5.4757842063390197E-3</c:v>
                </c:pt>
                <c:pt idx="34">
                  <c:v>5.4553137251868097E-3</c:v>
                </c:pt>
                <c:pt idx="35">
                  <c:v>5.5781356877158701E-3</c:v>
                </c:pt>
                <c:pt idx="36">
                  <c:v>4.2426702360443703E-3</c:v>
                </c:pt>
                <c:pt idx="37">
                  <c:v>5.06291981572006E-3</c:v>
                </c:pt>
                <c:pt idx="38">
                  <c:v>5.0534916584614401E-3</c:v>
                </c:pt>
                <c:pt idx="39">
                  <c:v>5.1289169080450401E-3</c:v>
                </c:pt>
                <c:pt idx="40">
                  <c:v>3.8629573537048399E-3</c:v>
                </c:pt>
                <c:pt idx="41">
                  <c:v>4.5369239228099803E-3</c:v>
                </c:pt>
                <c:pt idx="42">
                  <c:v>4.5369239228099803E-3</c:v>
                </c:pt>
                <c:pt idx="43">
                  <c:v>4.6191158606332296E-3</c:v>
                </c:pt>
                <c:pt idx="44">
                  <c:v>3.6148307522857501E-3</c:v>
                </c:pt>
                <c:pt idx="45">
                  <c:v>4.3136898854176696E-3</c:v>
                </c:pt>
                <c:pt idx="46">
                  <c:v>4.3136898854176696E-3</c:v>
                </c:pt>
                <c:pt idx="47">
                  <c:v>4.3618880155675997E-3</c:v>
                </c:pt>
                <c:pt idx="48">
                  <c:v>3.4322779751721501E-3</c:v>
                </c:pt>
                <c:pt idx="49">
                  <c:v>4.0563320656063599E-3</c:v>
                </c:pt>
                <c:pt idx="50">
                  <c:v>4.0563320656063599E-3</c:v>
                </c:pt>
                <c:pt idx="51">
                  <c:v>4.0719337351687703E-3</c:v>
                </c:pt>
                <c:pt idx="52">
                  <c:v>3.22751347978549E-3</c:v>
                </c:pt>
                <c:pt idx="53">
                  <c:v>3.83716068952898E-3</c:v>
                </c:pt>
                <c:pt idx="54">
                  <c:v>3.8228158824333098E-3</c:v>
                </c:pt>
                <c:pt idx="55">
                  <c:v>3.82998728060969E-3</c:v>
                </c:pt>
                <c:pt idx="56">
                  <c:v>3.0593816480782702E-3</c:v>
                </c:pt>
                <c:pt idx="57">
                  <c:v>3.62367631550614E-3</c:v>
                </c:pt>
                <c:pt idx="58">
                  <c:v>3.62367631550614E-3</c:v>
                </c:pt>
                <c:pt idx="59">
                  <c:v>3.61687784233604E-3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21-4103-8C8F-6CB19DAE1087}"/>
            </c:ext>
          </c:extLst>
        </c:ser>
        <c:ser>
          <c:idx val="3"/>
          <c:order val="3"/>
          <c:tx>
            <c:strRef>
              <c:f>aggregate_res_10d_out!$G$1</c:f>
              <c:strCache>
                <c:ptCount val="1"/>
                <c:pt idx="0">
                  <c:v>Wait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aggregate_res_10d_out!$A$2:$B$61</c:f>
              <c:multiLvlStrCache>
                <c:ptCount val="60"/>
                <c:lvl>
                  <c:pt idx="0">
                    <c:v>GREEDY</c:v>
                  </c:pt>
                  <c:pt idx="1">
                    <c:v>LS-HC</c:v>
                  </c:pt>
                  <c:pt idx="2">
                    <c:v>LS-LB</c:v>
                  </c:pt>
                  <c:pt idx="3">
                    <c:v>LS-BFSOPT</c:v>
                  </c:pt>
                  <c:pt idx="4">
                    <c:v>GREEDY</c:v>
                  </c:pt>
                  <c:pt idx="5">
                    <c:v>LS-HC</c:v>
                  </c:pt>
                  <c:pt idx="6">
                    <c:v>LS-LB</c:v>
                  </c:pt>
                  <c:pt idx="7">
                    <c:v>LS-BFSOPT</c:v>
                  </c:pt>
                  <c:pt idx="8">
                    <c:v>GREEDY</c:v>
                  </c:pt>
                  <c:pt idx="9">
                    <c:v>LS-HC</c:v>
                  </c:pt>
                  <c:pt idx="10">
                    <c:v>LS-LB</c:v>
                  </c:pt>
                  <c:pt idx="11">
                    <c:v>LS-BFSOPT</c:v>
                  </c:pt>
                  <c:pt idx="12">
                    <c:v>GREEDY</c:v>
                  </c:pt>
                  <c:pt idx="13">
                    <c:v>LS-HC</c:v>
                  </c:pt>
                  <c:pt idx="14">
                    <c:v>LS-LB</c:v>
                  </c:pt>
                  <c:pt idx="15">
                    <c:v>LS-BFSOPT</c:v>
                  </c:pt>
                  <c:pt idx="16">
                    <c:v>GREEDY</c:v>
                  </c:pt>
                  <c:pt idx="17">
                    <c:v>LS-HC</c:v>
                  </c:pt>
                  <c:pt idx="18">
                    <c:v>LS-LB</c:v>
                  </c:pt>
                  <c:pt idx="19">
                    <c:v>LS-BFSOPT</c:v>
                  </c:pt>
                  <c:pt idx="20">
                    <c:v>GREEDY</c:v>
                  </c:pt>
                  <c:pt idx="21">
                    <c:v>LS-HC</c:v>
                  </c:pt>
                  <c:pt idx="22">
                    <c:v>LS-LB</c:v>
                  </c:pt>
                  <c:pt idx="23">
                    <c:v>LS-BFSOPT</c:v>
                  </c:pt>
                  <c:pt idx="24">
                    <c:v>GREEDY</c:v>
                  </c:pt>
                  <c:pt idx="25">
                    <c:v>LS-HC</c:v>
                  </c:pt>
                  <c:pt idx="26">
                    <c:v>LS-LB</c:v>
                  </c:pt>
                  <c:pt idx="27">
                    <c:v>LS-BFSOPT</c:v>
                  </c:pt>
                  <c:pt idx="28">
                    <c:v>GREEDY</c:v>
                  </c:pt>
                  <c:pt idx="29">
                    <c:v>LS-HC</c:v>
                  </c:pt>
                  <c:pt idx="30">
                    <c:v>LS-LB</c:v>
                  </c:pt>
                  <c:pt idx="31">
                    <c:v>LS-BFSOPT</c:v>
                  </c:pt>
                  <c:pt idx="32">
                    <c:v>GREEDY</c:v>
                  </c:pt>
                  <c:pt idx="33">
                    <c:v>LS-HC</c:v>
                  </c:pt>
                  <c:pt idx="34">
                    <c:v>LS-LB</c:v>
                  </c:pt>
                  <c:pt idx="35">
                    <c:v>LS-BFSOPT</c:v>
                  </c:pt>
                  <c:pt idx="36">
                    <c:v>GREEDY</c:v>
                  </c:pt>
                  <c:pt idx="37">
                    <c:v>LS-HC</c:v>
                  </c:pt>
                  <c:pt idx="38">
                    <c:v>LS-LB</c:v>
                  </c:pt>
                  <c:pt idx="39">
                    <c:v>LS-BFSOPT</c:v>
                  </c:pt>
                  <c:pt idx="40">
                    <c:v>GREEDY</c:v>
                  </c:pt>
                  <c:pt idx="41">
                    <c:v>LS-HC</c:v>
                  </c:pt>
                  <c:pt idx="42">
                    <c:v>LS-LB</c:v>
                  </c:pt>
                  <c:pt idx="43">
                    <c:v>LS-BFSOPT</c:v>
                  </c:pt>
                  <c:pt idx="44">
                    <c:v>GREEDY</c:v>
                  </c:pt>
                  <c:pt idx="45">
                    <c:v>LS-HC</c:v>
                  </c:pt>
                  <c:pt idx="46">
                    <c:v>LS-LB</c:v>
                  </c:pt>
                  <c:pt idx="47">
                    <c:v>LS-BFSOPT</c:v>
                  </c:pt>
                  <c:pt idx="48">
                    <c:v>GREEDY</c:v>
                  </c:pt>
                  <c:pt idx="49">
                    <c:v>LS-HC</c:v>
                  </c:pt>
                  <c:pt idx="50">
                    <c:v>LS-LB</c:v>
                  </c:pt>
                  <c:pt idx="51">
                    <c:v>LS-BFSOPT</c:v>
                  </c:pt>
                  <c:pt idx="52">
                    <c:v>GREEDY</c:v>
                  </c:pt>
                  <c:pt idx="53">
                    <c:v>LS-HC</c:v>
                  </c:pt>
                  <c:pt idx="54">
                    <c:v>LS-LB</c:v>
                  </c:pt>
                  <c:pt idx="55">
                    <c:v>LS-BFSOPT</c:v>
                  </c:pt>
                  <c:pt idx="56">
                    <c:v>GREEDY</c:v>
                  </c:pt>
                  <c:pt idx="57">
                    <c:v>LS-HC</c:v>
                  </c:pt>
                  <c:pt idx="58">
                    <c:v>LS-LB</c:v>
                  </c:pt>
                  <c:pt idx="59">
                    <c:v>LS-BFSOPT</c:v>
                  </c:pt>
                </c:lvl>
                <c:lvl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4</c:v>
                  </c:pt>
                  <c:pt idx="5">
                    <c:v>4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6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8</c:v>
                  </c:pt>
                  <c:pt idx="15">
                    <c:v>8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14</c:v>
                  </c:pt>
                  <c:pt idx="25">
                    <c:v>14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16</c:v>
                  </c:pt>
                  <c:pt idx="29">
                    <c:v>16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18</c:v>
                  </c:pt>
                  <c:pt idx="33">
                    <c:v>18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20</c:v>
                  </c:pt>
                  <c:pt idx="37">
                    <c:v>20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22</c:v>
                  </c:pt>
                  <c:pt idx="41">
                    <c:v>22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26</c:v>
                  </c:pt>
                  <c:pt idx="49">
                    <c:v>26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28</c:v>
                  </c:pt>
                  <c:pt idx="53">
                    <c:v>28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30</c:v>
                  </c:pt>
                  <c:pt idx="57">
                    <c:v>30</c:v>
                  </c:pt>
                  <c:pt idx="58">
                    <c:v>30</c:v>
                  </c:pt>
                  <c:pt idx="59">
                    <c:v>30</c:v>
                  </c:pt>
                </c:lvl>
              </c:multiLvlStrCache>
            </c:multiLvlStrRef>
          </c:cat>
          <c:val>
            <c:numRef>
              <c:f>aggregate_res_10d_out!$G$2:$G$61</c:f>
              <c:numCache>
                <c:formatCode>General</c:formatCode>
                <c:ptCount val="60"/>
                <c:pt idx="0">
                  <c:v>0</c:v>
                </c:pt>
                <c:pt idx="1">
                  <c:v>1.3942647367162699E-4</c:v>
                </c:pt>
                <c:pt idx="2">
                  <c:v>1.3942647367162699E-4</c:v>
                </c:pt>
                <c:pt idx="3">
                  <c:v>1.3942647367162699E-4</c:v>
                </c:pt>
                <c:pt idx="4">
                  <c:v>0</c:v>
                </c:pt>
                <c:pt idx="5">
                  <c:v>4.8284174861283402E-4</c:v>
                </c:pt>
                <c:pt idx="6">
                  <c:v>9.6555826472679998E-4</c:v>
                </c:pt>
                <c:pt idx="7">
                  <c:v>1.52385358067575E-3</c:v>
                </c:pt>
                <c:pt idx="8">
                  <c:v>0</c:v>
                </c:pt>
                <c:pt idx="9">
                  <c:v>3.5275794437862602E-3</c:v>
                </c:pt>
                <c:pt idx="10">
                  <c:v>3.3692946886663502E-3</c:v>
                </c:pt>
                <c:pt idx="11">
                  <c:v>5.2348923731486297E-3</c:v>
                </c:pt>
                <c:pt idx="12">
                  <c:v>0</c:v>
                </c:pt>
                <c:pt idx="13">
                  <c:v>5.2216114684291203E-3</c:v>
                </c:pt>
                <c:pt idx="14">
                  <c:v>5.5816611817137603E-3</c:v>
                </c:pt>
                <c:pt idx="15">
                  <c:v>9.5682205164455605E-3</c:v>
                </c:pt>
                <c:pt idx="16">
                  <c:v>0</c:v>
                </c:pt>
                <c:pt idx="17">
                  <c:v>1.8324556977856499E-2</c:v>
                </c:pt>
                <c:pt idx="18">
                  <c:v>1.9964624285475002E-2</c:v>
                </c:pt>
                <c:pt idx="19">
                  <c:v>3.1216571076323699E-2</c:v>
                </c:pt>
                <c:pt idx="20">
                  <c:v>0</c:v>
                </c:pt>
                <c:pt idx="21">
                  <c:v>2.4095885757205601E-2</c:v>
                </c:pt>
                <c:pt idx="22">
                  <c:v>2.2798865989306399E-2</c:v>
                </c:pt>
                <c:pt idx="23">
                  <c:v>2.7047142125879699E-2</c:v>
                </c:pt>
                <c:pt idx="24">
                  <c:v>0</c:v>
                </c:pt>
                <c:pt idx="25">
                  <c:v>2.8426920454939799E-2</c:v>
                </c:pt>
                <c:pt idx="26">
                  <c:v>2.4836846870619E-2</c:v>
                </c:pt>
                <c:pt idx="27">
                  <c:v>3.2542303719309398E-2</c:v>
                </c:pt>
                <c:pt idx="28">
                  <c:v>0</c:v>
                </c:pt>
                <c:pt idx="29">
                  <c:v>2.52068967071905E-2</c:v>
                </c:pt>
                <c:pt idx="30">
                  <c:v>2.2302762388632401E-2</c:v>
                </c:pt>
                <c:pt idx="31">
                  <c:v>2.4127197141012701E-2</c:v>
                </c:pt>
                <c:pt idx="32">
                  <c:v>0</c:v>
                </c:pt>
                <c:pt idx="33">
                  <c:v>2.4354161472882399E-2</c:v>
                </c:pt>
                <c:pt idx="34">
                  <c:v>2.38359264646766E-2</c:v>
                </c:pt>
                <c:pt idx="35">
                  <c:v>2.55240260522041E-2</c:v>
                </c:pt>
                <c:pt idx="36">
                  <c:v>0</c:v>
                </c:pt>
                <c:pt idx="37">
                  <c:v>2.24223335386508E-2</c:v>
                </c:pt>
                <c:pt idx="38">
                  <c:v>2.24223335386508E-2</c:v>
                </c:pt>
                <c:pt idx="39">
                  <c:v>2.3914723892952201E-2</c:v>
                </c:pt>
                <c:pt idx="40">
                  <c:v>0</c:v>
                </c:pt>
                <c:pt idx="41">
                  <c:v>1.94149069561972E-2</c:v>
                </c:pt>
                <c:pt idx="42">
                  <c:v>1.94149069561972E-2</c:v>
                </c:pt>
                <c:pt idx="43">
                  <c:v>2.30223849425461E-2</c:v>
                </c:pt>
                <c:pt idx="44">
                  <c:v>0</c:v>
                </c:pt>
                <c:pt idx="45">
                  <c:v>1.94655533168979E-2</c:v>
                </c:pt>
                <c:pt idx="46">
                  <c:v>1.94655533168979E-2</c:v>
                </c:pt>
                <c:pt idx="47">
                  <c:v>1.9471595374403902E-2</c:v>
                </c:pt>
                <c:pt idx="48">
                  <c:v>0</c:v>
                </c:pt>
                <c:pt idx="49">
                  <c:v>1.6732176650330999E-2</c:v>
                </c:pt>
                <c:pt idx="50">
                  <c:v>1.6732176650330999E-2</c:v>
                </c:pt>
                <c:pt idx="51">
                  <c:v>1.8396326130580499E-2</c:v>
                </c:pt>
                <c:pt idx="52">
                  <c:v>0</c:v>
                </c:pt>
                <c:pt idx="53">
                  <c:v>1.6187255592166098E-2</c:v>
                </c:pt>
                <c:pt idx="54">
                  <c:v>1.6157282719591201E-2</c:v>
                </c:pt>
                <c:pt idx="55">
                  <c:v>1.5859196736909598E-2</c:v>
                </c:pt>
                <c:pt idx="56">
                  <c:v>0</c:v>
                </c:pt>
                <c:pt idx="57">
                  <c:v>1.4749114388369599E-2</c:v>
                </c:pt>
                <c:pt idx="58">
                  <c:v>1.4749114388369599E-2</c:v>
                </c:pt>
                <c:pt idx="59">
                  <c:v>1.3277365592912E-2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21-4103-8C8F-6CB19DAE1087}"/>
            </c:ext>
          </c:extLst>
        </c:ser>
        <c:ser>
          <c:idx val="4"/>
          <c:order val="4"/>
          <c:tx>
            <c:strRef>
              <c:f>aggregate_res_10d_out!$H$1</c:f>
              <c:strCache>
                <c:ptCount val="1"/>
                <c:pt idx="0">
                  <c:v>Unused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aggregate_res_10d_out!$A$2:$B$61</c:f>
              <c:multiLvlStrCache>
                <c:ptCount val="60"/>
                <c:lvl>
                  <c:pt idx="0">
                    <c:v>GREEDY</c:v>
                  </c:pt>
                  <c:pt idx="1">
                    <c:v>LS-HC</c:v>
                  </c:pt>
                  <c:pt idx="2">
                    <c:v>LS-LB</c:v>
                  </c:pt>
                  <c:pt idx="3">
                    <c:v>LS-BFSOPT</c:v>
                  </c:pt>
                  <c:pt idx="4">
                    <c:v>GREEDY</c:v>
                  </c:pt>
                  <c:pt idx="5">
                    <c:v>LS-HC</c:v>
                  </c:pt>
                  <c:pt idx="6">
                    <c:v>LS-LB</c:v>
                  </c:pt>
                  <c:pt idx="7">
                    <c:v>LS-BFSOPT</c:v>
                  </c:pt>
                  <c:pt idx="8">
                    <c:v>GREEDY</c:v>
                  </c:pt>
                  <c:pt idx="9">
                    <c:v>LS-HC</c:v>
                  </c:pt>
                  <c:pt idx="10">
                    <c:v>LS-LB</c:v>
                  </c:pt>
                  <c:pt idx="11">
                    <c:v>LS-BFSOPT</c:v>
                  </c:pt>
                  <c:pt idx="12">
                    <c:v>GREEDY</c:v>
                  </c:pt>
                  <c:pt idx="13">
                    <c:v>LS-HC</c:v>
                  </c:pt>
                  <c:pt idx="14">
                    <c:v>LS-LB</c:v>
                  </c:pt>
                  <c:pt idx="15">
                    <c:v>LS-BFSOPT</c:v>
                  </c:pt>
                  <c:pt idx="16">
                    <c:v>GREEDY</c:v>
                  </c:pt>
                  <c:pt idx="17">
                    <c:v>LS-HC</c:v>
                  </c:pt>
                  <c:pt idx="18">
                    <c:v>LS-LB</c:v>
                  </c:pt>
                  <c:pt idx="19">
                    <c:v>LS-BFSOPT</c:v>
                  </c:pt>
                  <c:pt idx="20">
                    <c:v>GREEDY</c:v>
                  </c:pt>
                  <c:pt idx="21">
                    <c:v>LS-HC</c:v>
                  </c:pt>
                  <c:pt idx="22">
                    <c:v>LS-LB</c:v>
                  </c:pt>
                  <c:pt idx="23">
                    <c:v>LS-BFSOPT</c:v>
                  </c:pt>
                  <c:pt idx="24">
                    <c:v>GREEDY</c:v>
                  </c:pt>
                  <c:pt idx="25">
                    <c:v>LS-HC</c:v>
                  </c:pt>
                  <c:pt idx="26">
                    <c:v>LS-LB</c:v>
                  </c:pt>
                  <c:pt idx="27">
                    <c:v>LS-BFSOPT</c:v>
                  </c:pt>
                  <c:pt idx="28">
                    <c:v>GREEDY</c:v>
                  </c:pt>
                  <c:pt idx="29">
                    <c:v>LS-HC</c:v>
                  </c:pt>
                  <c:pt idx="30">
                    <c:v>LS-LB</c:v>
                  </c:pt>
                  <c:pt idx="31">
                    <c:v>LS-BFSOPT</c:v>
                  </c:pt>
                  <c:pt idx="32">
                    <c:v>GREEDY</c:v>
                  </c:pt>
                  <c:pt idx="33">
                    <c:v>LS-HC</c:v>
                  </c:pt>
                  <c:pt idx="34">
                    <c:v>LS-LB</c:v>
                  </c:pt>
                  <c:pt idx="35">
                    <c:v>LS-BFSOPT</c:v>
                  </c:pt>
                  <c:pt idx="36">
                    <c:v>GREEDY</c:v>
                  </c:pt>
                  <c:pt idx="37">
                    <c:v>LS-HC</c:v>
                  </c:pt>
                  <c:pt idx="38">
                    <c:v>LS-LB</c:v>
                  </c:pt>
                  <c:pt idx="39">
                    <c:v>LS-BFSOPT</c:v>
                  </c:pt>
                  <c:pt idx="40">
                    <c:v>GREEDY</c:v>
                  </c:pt>
                  <c:pt idx="41">
                    <c:v>LS-HC</c:v>
                  </c:pt>
                  <c:pt idx="42">
                    <c:v>LS-LB</c:v>
                  </c:pt>
                  <c:pt idx="43">
                    <c:v>LS-BFSOPT</c:v>
                  </c:pt>
                  <c:pt idx="44">
                    <c:v>GREEDY</c:v>
                  </c:pt>
                  <c:pt idx="45">
                    <c:v>LS-HC</c:v>
                  </c:pt>
                  <c:pt idx="46">
                    <c:v>LS-LB</c:v>
                  </c:pt>
                  <c:pt idx="47">
                    <c:v>LS-BFSOPT</c:v>
                  </c:pt>
                  <c:pt idx="48">
                    <c:v>GREEDY</c:v>
                  </c:pt>
                  <c:pt idx="49">
                    <c:v>LS-HC</c:v>
                  </c:pt>
                  <c:pt idx="50">
                    <c:v>LS-LB</c:v>
                  </c:pt>
                  <c:pt idx="51">
                    <c:v>LS-BFSOPT</c:v>
                  </c:pt>
                  <c:pt idx="52">
                    <c:v>GREEDY</c:v>
                  </c:pt>
                  <c:pt idx="53">
                    <c:v>LS-HC</c:v>
                  </c:pt>
                  <c:pt idx="54">
                    <c:v>LS-LB</c:v>
                  </c:pt>
                  <c:pt idx="55">
                    <c:v>LS-BFSOPT</c:v>
                  </c:pt>
                  <c:pt idx="56">
                    <c:v>GREEDY</c:v>
                  </c:pt>
                  <c:pt idx="57">
                    <c:v>LS-HC</c:v>
                  </c:pt>
                  <c:pt idx="58">
                    <c:v>LS-LB</c:v>
                  </c:pt>
                  <c:pt idx="59">
                    <c:v>LS-BFSOPT</c:v>
                  </c:pt>
                </c:lvl>
                <c:lvl>
                  <c:pt idx="0">
                    <c:v>2</c:v>
                  </c:pt>
                  <c:pt idx="1">
                    <c:v>2</c:v>
                  </c:pt>
                  <c:pt idx="2">
                    <c:v>2</c:v>
                  </c:pt>
                  <c:pt idx="3">
                    <c:v>2</c:v>
                  </c:pt>
                  <c:pt idx="4">
                    <c:v>4</c:v>
                  </c:pt>
                  <c:pt idx="5">
                    <c:v>4</c:v>
                  </c:pt>
                  <c:pt idx="6">
                    <c:v>4</c:v>
                  </c:pt>
                  <c:pt idx="7">
                    <c:v>4</c:v>
                  </c:pt>
                  <c:pt idx="8">
                    <c:v>6</c:v>
                  </c:pt>
                  <c:pt idx="9">
                    <c:v>6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8</c:v>
                  </c:pt>
                  <c:pt idx="15">
                    <c:v>8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10</c:v>
                  </c:pt>
                  <c:pt idx="19">
                    <c:v>10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12</c:v>
                  </c:pt>
                  <c:pt idx="23">
                    <c:v>12</c:v>
                  </c:pt>
                  <c:pt idx="24">
                    <c:v>14</c:v>
                  </c:pt>
                  <c:pt idx="25">
                    <c:v>14</c:v>
                  </c:pt>
                  <c:pt idx="26">
                    <c:v>14</c:v>
                  </c:pt>
                  <c:pt idx="27">
                    <c:v>14</c:v>
                  </c:pt>
                  <c:pt idx="28">
                    <c:v>16</c:v>
                  </c:pt>
                  <c:pt idx="29">
                    <c:v>16</c:v>
                  </c:pt>
                  <c:pt idx="30">
                    <c:v>16</c:v>
                  </c:pt>
                  <c:pt idx="31">
                    <c:v>16</c:v>
                  </c:pt>
                  <c:pt idx="32">
                    <c:v>18</c:v>
                  </c:pt>
                  <c:pt idx="33">
                    <c:v>18</c:v>
                  </c:pt>
                  <c:pt idx="34">
                    <c:v>18</c:v>
                  </c:pt>
                  <c:pt idx="35">
                    <c:v>18</c:v>
                  </c:pt>
                  <c:pt idx="36">
                    <c:v>20</c:v>
                  </c:pt>
                  <c:pt idx="37">
                    <c:v>20</c:v>
                  </c:pt>
                  <c:pt idx="38">
                    <c:v>20</c:v>
                  </c:pt>
                  <c:pt idx="39">
                    <c:v>20</c:v>
                  </c:pt>
                  <c:pt idx="40">
                    <c:v>22</c:v>
                  </c:pt>
                  <c:pt idx="41">
                    <c:v>22</c:v>
                  </c:pt>
                  <c:pt idx="42">
                    <c:v>22</c:v>
                  </c:pt>
                  <c:pt idx="43">
                    <c:v>22</c:v>
                  </c:pt>
                  <c:pt idx="44">
                    <c:v>24</c:v>
                  </c:pt>
                  <c:pt idx="45">
                    <c:v>24</c:v>
                  </c:pt>
                  <c:pt idx="46">
                    <c:v>24</c:v>
                  </c:pt>
                  <c:pt idx="47">
                    <c:v>24</c:v>
                  </c:pt>
                  <c:pt idx="48">
                    <c:v>26</c:v>
                  </c:pt>
                  <c:pt idx="49">
                    <c:v>26</c:v>
                  </c:pt>
                  <c:pt idx="50">
                    <c:v>26</c:v>
                  </c:pt>
                  <c:pt idx="51">
                    <c:v>26</c:v>
                  </c:pt>
                  <c:pt idx="52">
                    <c:v>28</c:v>
                  </c:pt>
                  <c:pt idx="53">
                    <c:v>28</c:v>
                  </c:pt>
                  <c:pt idx="54">
                    <c:v>28</c:v>
                  </c:pt>
                  <c:pt idx="55">
                    <c:v>28</c:v>
                  </c:pt>
                  <c:pt idx="56">
                    <c:v>30</c:v>
                  </c:pt>
                  <c:pt idx="57">
                    <c:v>30</c:v>
                  </c:pt>
                  <c:pt idx="58">
                    <c:v>30</c:v>
                  </c:pt>
                  <c:pt idx="59">
                    <c:v>30</c:v>
                  </c:pt>
                </c:lvl>
              </c:multiLvlStrCache>
            </c:multiLvlStrRef>
          </c:cat>
          <c:val>
            <c:numRef>
              <c:f>aggregate_res_10d_out!$H$2:$H$61</c:f>
              <c:numCache>
                <c:formatCode>General</c:formatCode>
                <c:ptCount val="60"/>
                <c:pt idx="0">
                  <c:v>8.3426482741157826E-2</c:v>
                </c:pt>
                <c:pt idx="1">
                  <c:v>1.9591283130148573E-2</c:v>
                </c:pt>
                <c:pt idx="2">
                  <c:v>1.8365329520034335E-2</c:v>
                </c:pt>
                <c:pt idx="3">
                  <c:v>1.7983217357289139E-2</c:v>
                </c:pt>
                <c:pt idx="4">
                  <c:v>0.22280941734666182</c:v>
                </c:pt>
                <c:pt idx="5">
                  <c:v>6.0342449360589412E-2</c:v>
                </c:pt>
                <c:pt idx="6">
                  <c:v>4.8971914892937507E-2</c:v>
                </c:pt>
                <c:pt idx="7">
                  <c:v>4.6478887056357721E-2</c:v>
                </c:pt>
                <c:pt idx="8">
                  <c:v>0.32476714918967153</c:v>
                </c:pt>
                <c:pt idx="9">
                  <c:v>0.11545308368358431</c:v>
                </c:pt>
                <c:pt idx="10">
                  <c:v>0.10708389088485137</c:v>
                </c:pt>
                <c:pt idx="11">
                  <c:v>0.10014899478131034</c:v>
                </c:pt>
                <c:pt idx="12">
                  <c:v>0.40396326105072677</c:v>
                </c:pt>
                <c:pt idx="13">
                  <c:v>0.18572052110938775</c:v>
                </c:pt>
                <c:pt idx="14">
                  <c:v>0.17394262642047054</c:v>
                </c:pt>
                <c:pt idx="15">
                  <c:v>0.17349670157040131</c:v>
                </c:pt>
                <c:pt idx="16">
                  <c:v>0.48337366291481432</c:v>
                </c:pt>
                <c:pt idx="17">
                  <c:v>0.27632374461883291</c:v>
                </c:pt>
                <c:pt idx="18">
                  <c:v>0.24567230560795761</c:v>
                </c:pt>
                <c:pt idx="19">
                  <c:v>0.22870219365061129</c:v>
                </c:pt>
                <c:pt idx="20">
                  <c:v>0.53925734905163036</c:v>
                </c:pt>
                <c:pt idx="21">
                  <c:v>0.35408144699482447</c:v>
                </c:pt>
                <c:pt idx="22">
                  <c:v>0.35249722227626035</c:v>
                </c:pt>
                <c:pt idx="23">
                  <c:v>0.33228749036461935</c:v>
                </c:pt>
                <c:pt idx="24">
                  <c:v>0.60401121841079009</c:v>
                </c:pt>
                <c:pt idx="25">
                  <c:v>0.41569380909872494</c:v>
                </c:pt>
                <c:pt idx="26">
                  <c:v>0.41951864974681813</c:v>
                </c:pt>
                <c:pt idx="27">
                  <c:v>0.40043096018633617</c:v>
                </c:pt>
                <c:pt idx="28">
                  <c:v>0.65648354695788069</c:v>
                </c:pt>
                <c:pt idx="29">
                  <c:v>0.4811392071416023</c:v>
                </c:pt>
                <c:pt idx="30">
                  <c:v>0.47606599428857443</c:v>
                </c:pt>
                <c:pt idx="31">
                  <c:v>0.460163756769917</c:v>
                </c:pt>
                <c:pt idx="32">
                  <c:v>0.69074481255849973</c:v>
                </c:pt>
                <c:pt idx="33">
                  <c:v>0.54897093924601115</c:v>
                </c:pt>
                <c:pt idx="34">
                  <c:v>0.54911994484396176</c:v>
                </c:pt>
                <c:pt idx="35">
                  <c:v>0.54039858599432899</c:v>
                </c:pt>
                <c:pt idx="36">
                  <c:v>0.71920869171472912</c:v>
                </c:pt>
                <c:pt idx="37">
                  <c:v>0.59174148312842734</c:v>
                </c:pt>
                <c:pt idx="38">
                  <c:v>0.59178262623636424</c:v>
                </c:pt>
                <c:pt idx="39">
                  <c:v>0.5836303763556342</c:v>
                </c:pt>
                <c:pt idx="40">
                  <c:v>0.74648314033925722</c:v>
                </c:pt>
                <c:pt idx="41">
                  <c:v>0.62549201523423914</c:v>
                </c:pt>
                <c:pt idx="42">
                  <c:v>0.62549201523423914</c:v>
                </c:pt>
                <c:pt idx="43">
                  <c:v>0.61747027927545417</c:v>
                </c:pt>
                <c:pt idx="44">
                  <c:v>0.76891722545337093</c:v>
                </c:pt>
                <c:pt idx="45">
                  <c:v>0.6480327520128073</c:v>
                </c:pt>
                <c:pt idx="46">
                  <c:v>0.6482677059263473</c:v>
                </c:pt>
                <c:pt idx="47">
                  <c:v>0.64125431600846405</c:v>
                </c:pt>
                <c:pt idx="48">
                  <c:v>0.78522765462008315</c:v>
                </c:pt>
                <c:pt idx="49">
                  <c:v>0.68075058030414548</c:v>
                </c:pt>
                <c:pt idx="50">
                  <c:v>0.68097873935727349</c:v>
                </c:pt>
                <c:pt idx="51">
                  <c:v>0.67546166106827621</c:v>
                </c:pt>
                <c:pt idx="52">
                  <c:v>0.80015968674483529</c:v>
                </c:pt>
                <c:pt idx="53">
                  <c:v>0.70340724380019359</c:v>
                </c:pt>
                <c:pt idx="54">
                  <c:v>0.70350621353312193</c:v>
                </c:pt>
                <c:pt idx="55">
                  <c:v>0.70179484187402064</c:v>
                </c:pt>
                <c:pt idx="56">
                  <c:v>0.81235782871432483</c:v>
                </c:pt>
                <c:pt idx="57">
                  <c:v>0.71964622086911123</c:v>
                </c:pt>
                <c:pt idx="58">
                  <c:v>0.71984507351726523</c:v>
                </c:pt>
                <c:pt idx="59">
                  <c:v>0.71620536499377685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21-4103-8C8F-6CB19DAE1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397886111"/>
        <c:axId val="1397876543"/>
      </c:barChart>
      <c:catAx>
        <c:axId val="13978861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Fleet Size x Algorithm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97876543"/>
        <c:crosses val="autoZero"/>
        <c:auto val="1"/>
        <c:lblAlgn val="ctr"/>
        <c:lblOffset val="100"/>
        <c:noMultiLvlLbl val="0"/>
      </c:catAx>
      <c:valAx>
        <c:axId val="13978765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Time proportions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978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aggregate_res_10d_out!$Q$1</c:f>
              <c:strCache>
                <c:ptCount val="1"/>
                <c:pt idx="0">
                  <c:v>Completion time difference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aggregate_res_10d_out!$P$2:$P$16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</c:numCache>
            </c:numRef>
          </c:cat>
          <c:val>
            <c:numRef>
              <c:f>aggregate_res_10d_out!$Q$2:$Q$16</c:f>
              <c:numCache>
                <c:formatCode>0%</c:formatCode>
                <c:ptCount val="15"/>
                <c:pt idx="0">
                  <c:v>5.327891802920437E-2</c:v>
                </c:pt>
                <c:pt idx="1">
                  <c:v>0.1313530655088756</c:v>
                </c:pt>
                <c:pt idx="2">
                  <c:v>0.16020182739665678</c:v>
                </c:pt>
                <c:pt idx="3">
                  <c:v>0.16746674041533571</c:v>
                </c:pt>
                <c:pt idx="4">
                  <c:v>0.14993188052627027</c:v>
                </c:pt>
                <c:pt idx="5">
                  <c:v>0.11682424177753237</c:v>
                </c:pt>
                <c:pt idx="6">
                  <c:v>0.12394594565094774</c:v>
                </c:pt>
                <c:pt idx="7">
                  <c:v>0.12032140188228235</c:v>
                </c:pt>
                <c:pt idx="8">
                  <c:v>8.4725642854994732E-2</c:v>
                </c:pt>
                <c:pt idx="9">
                  <c:v>7.5626402145590688E-2</c:v>
                </c:pt>
                <c:pt idx="10">
                  <c:v>7.7544860126252613E-2</c:v>
                </c:pt>
                <c:pt idx="11">
                  <c:v>7.9846895925300032E-2</c:v>
                </c:pt>
                <c:pt idx="12">
                  <c:v>6.8556666881595008E-2</c:v>
                </c:pt>
                <c:pt idx="13">
                  <c:v>6.3856372158687003E-2</c:v>
                </c:pt>
                <c:pt idx="14">
                  <c:v>6.2366937818794987E-2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D-41FB-BB48-F8B4B102BB8C}"/>
            </c:ext>
          </c:extLst>
        </c:ser>
        <c:ser>
          <c:idx val="1"/>
          <c:order val="1"/>
          <c:tx>
            <c:strRef>
              <c:f>aggregate_res_10d_out!$R$1</c:f>
              <c:strCache>
                <c:ptCount val="1"/>
                <c:pt idx="0">
                  <c:v>Utilization difference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aggregate_res_10d_out!$P$2:$P$16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</c:numCache>
            </c:numRef>
          </c:cat>
          <c:val>
            <c:numRef>
              <c:f>aggregate_res_10d_out!$R$2:$R$16</c:f>
              <c:numCache>
                <c:formatCode>0%</c:formatCode>
                <c:ptCount val="15"/>
                <c:pt idx="0">
                  <c:v>1.1361528235791285E-2</c:v>
                </c:pt>
                <c:pt idx="1">
                  <c:v>3.8534516869819568E-2</c:v>
                </c:pt>
                <c:pt idx="2">
                  <c:v>5.2959409841232596E-2</c:v>
                </c:pt>
                <c:pt idx="3">
                  <c:v>5.198607321310833E-2</c:v>
                </c:pt>
                <c:pt idx="4">
                  <c:v>6.0040450316191651E-2</c:v>
                </c:pt>
                <c:pt idx="5">
                  <c:v>5.1497089438066079E-2</c:v>
                </c:pt>
                <c:pt idx="6">
                  <c:v>3.9582109400926657E-2</c:v>
                </c:pt>
                <c:pt idx="7">
                  <c:v>3.9826873596621848E-2</c:v>
                </c:pt>
                <c:pt idx="8">
                  <c:v>3.5284641678816731E-2</c:v>
                </c:pt>
                <c:pt idx="9">
                  <c:v>3.1610997338911873E-2</c:v>
                </c:pt>
                <c:pt idx="10">
                  <c:v>1.9127083010035129E-2</c:v>
                </c:pt>
                <c:pt idx="11">
                  <c:v>2.3751170876131489E-2</c:v>
                </c:pt>
                <c:pt idx="12">
                  <c:v>2.0320434351508848E-2</c:v>
                </c:pt>
                <c:pt idx="13">
                  <c:v>1.733263650081393E-2</c:v>
                </c:pt>
                <c:pt idx="14">
                  <c:v>1.7166806312261695E-2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BD-41FB-BB48-F8B4B102B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137119"/>
        <c:axId val="1396132127"/>
      </c:lineChart>
      <c:catAx>
        <c:axId val="13961371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Fleet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132127"/>
        <c:crosses val="autoZero"/>
        <c:auto val="1"/>
        <c:lblAlgn val="ctr"/>
        <c:lblOffset val="100"/>
        <c:noMultiLvlLbl val="0"/>
      </c:catAx>
      <c:valAx>
        <c:axId val="139613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</a:t>
                </a:r>
                <a:r>
                  <a:rPr lang="en-GB" baseline="0"/>
                  <a:t> wrt Greedy performaces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137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341793</xdr:colOff>
      <xdr:row>62</xdr:row>
      <xdr:rowOff>148270</xdr:rowOff>
    </xdr:from>
    <xdr:to>
      <xdr:col>30</xdr:col>
      <xdr:colOff>558799</xdr:colOff>
      <xdr:row>102</xdr:row>
      <xdr:rowOff>118533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A6FBA17-7CD5-EE76-5631-6BC33C602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436486</xdr:colOff>
      <xdr:row>17</xdr:row>
      <xdr:rowOff>178293</xdr:rowOff>
    </xdr:from>
    <xdr:to>
      <xdr:col>20</xdr:col>
      <xdr:colOff>214544</xdr:colOff>
      <xdr:row>32</xdr:row>
      <xdr:rowOff>147221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90540CD-361E-91CB-7ADA-3DE45FC990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61"/>
  <sheetViews>
    <sheetView tabSelected="1" zoomScale="66" zoomScaleNormal="98" workbookViewId="0">
      <selection activeCell="AH11" sqref="AH11"/>
    </sheetView>
  </sheetViews>
  <sheetFormatPr defaultRowHeight="14.4" x14ac:dyDescent="0.3"/>
  <cols>
    <col min="2" max="2" width="22.21875" customWidth="1"/>
    <col min="17" max="17" width="16.77734375" customWidth="1"/>
    <col min="24" max="24" width="8.88671875" style="3"/>
  </cols>
  <sheetData>
    <row r="1" spans="1:26" x14ac:dyDescent="0.3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J1" t="s">
        <v>14</v>
      </c>
      <c r="P1" t="s">
        <v>15</v>
      </c>
      <c r="Q1" t="s">
        <v>16</v>
      </c>
      <c r="R1" t="s">
        <v>17</v>
      </c>
    </row>
    <row r="2" spans="1:26" x14ac:dyDescent="0.3">
      <c r="A2" s="2">
        <v>2</v>
      </c>
      <c r="B2" s="2" t="s">
        <v>3</v>
      </c>
      <c r="C2" s="2">
        <v>1</v>
      </c>
      <c r="D2" s="2">
        <v>0.88400296827026204</v>
      </c>
      <c r="E2" s="2">
        <v>2.2173288381033499E-2</v>
      </c>
      <c r="F2" s="2">
        <v>1.03972606075466E-2</v>
      </c>
      <c r="G2" s="2">
        <v>0</v>
      </c>
      <c r="H2" s="2">
        <f>C2-(D2+E2+F2+G2)</f>
        <v>8.3426482741157826E-2</v>
      </c>
      <c r="J2">
        <f t="shared" ref="J2:J29" si="0">D2+E2+F2</f>
        <v>0.91657351725884217</v>
      </c>
      <c r="L2">
        <f>AVERAGE(C3:C5)</f>
        <v>0.94672108197079563</v>
      </c>
      <c r="M2">
        <f>C2-L2</f>
        <v>5.327891802920437E-2</v>
      </c>
      <c r="P2">
        <v>2</v>
      </c>
      <c r="Q2" s="3">
        <v>5.327891802920437E-2</v>
      </c>
      <c r="R2" s="3">
        <v>1.1361528235791285E-2</v>
      </c>
      <c r="X2" s="3">
        <f>1-C2</f>
        <v>0</v>
      </c>
    </row>
    <row r="3" spans="1:26" x14ac:dyDescent="0.3">
      <c r="A3" s="2">
        <v>2</v>
      </c>
      <c r="B3" s="2" t="s">
        <v>10</v>
      </c>
      <c r="C3" s="2">
        <v>0.94811812652794603</v>
      </c>
      <c r="D3" s="2">
        <v>0.89524049804997197</v>
      </c>
      <c r="E3" s="2">
        <v>2.2342808936225599E-2</v>
      </c>
      <c r="F3" s="2">
        <v>1.08041099379282E-2</v>
      </c>
      <c r="G3" s="2">
        <v>1.3942647367162699E-4</v>
      </c>
      <c r="H3" s="2">
        <f>C3-(D3+E3+F3+G3)</f>
        <v>1.9591283130148573E-2</v>
      </c>
      <c r="J3">
        <f t="shared" si="0"/>
        <v>0.92838741692412585</v>
      </c>
      <c r="L3">
        <f>AVERAGE(J3:J5)</f>
        <v>0.92793504549463346</v>
      </c>
      <c r="M3">
        <f>L3-J2</f>
        <v>1.1361528235791285E-2</v>
      </c>
      <c r="P3">
        <v>4</v>
      </c>
      <c r="Q3" s="3">
        <v>0.1313530655088756</v>
      </c>
      <c r="R3" s="3">
        <v>3.8534516869819568E-2</v>
      </c>
      <c r="X3" s="3">
        <f t="shared" ref="X3:X60" si="1">1-C3</f>
        <v>5.1881873472053974E-2</v>
      </c>
    </row>
    <row r="4" spans="1:26" x14ac:dyDescent="0.3">
      <c r="A4" s="2">
        <v>2</v>
      </c>
      <c r="B4" s="2" t="s">
        <v>11</v>
      </c>
      <c r="C4" s="2">
        <v>0.94685933850399795</v>
      </c>
      <c r="D4" s="2">
        <v>0.89518506089613903</v>
      </c>
      <c r="E4" s="2">
        <v>2.2275000716228201E-2</v>
      </c>
      <c r="F4" s="2">
        <v>1.08945208979248E-2</v>
      </c>
      <c r="G4" s="2">
        <v>1.3942647367162699E-4</v>
      </c>
      <c r="H4" s="2">
        <f>C4-(D4+E4+F4+G4)</f>
        <v>1.8365329520034335E-2</v>
      </c>
      <c r="J4">
        <f t="shared" si="0"/>
        <v>0.92835458251029201</v>
      </c>
      <c r="P4">
        <v>6</v>
      </c>
      <c r="Q4" s="3">
        <v>0.16020182739665678</v>
      </c>
      <c r="R4" s="3">
        <v>5.2959409841232596E-2</v>
      </c>
      <c r="X4" s="3">
        <f t="shared" si="1"/>
        <v>5.3140661496002051E-2</v>
      </c>
    </row>
    <row r="5" spans="1:26" x14ac:dyDescent="0.3">
      <c r="A5" s="2">
        <v>2</v>
      </c>
      <c r="B5" s="2" t="s">
        <v>9</v>
      </c>
      <c r="C5" s="2">
        <v>0.94518578088044303</v>
      </c>
      <c r="D5" s="2">
        <v>0.89374669762533498</v>
      </c>
      <c r="E5" s="2">
        <v>2.23089048262269E-2</v>
      </c>
      <c r="F5" s="2">
        <v>1.10075345979204E-2</v>
      </c>
      <c r="G5" s="2">
        <v>1.3942647367162699E-4</v>
      </c>
      <c r="H5" s="2">
        <f>C5-(D5+E5+F5+G5)</f>
        <v>1.7983217357289139E-2</v>
      </c>
      <c r="J5">
        <f t="shared" si="0"/>
        <v>0.92706313704948229</v>
      </c>
      <c r="P5">
        <v>8</v>
      </c>
      <c r="Q5" s="3">
        <v>0.16746674041533571</v>
      </c>
      <c r="R5" s="3">
        <v>5.198607321310833E-2</v>
      </c>
      <c r="X5" s="3">
        <f t="shared" si="1"/>
        <v>5.4814219119556973E-2</v>
      </c>
    </row>
    <row r="6" spans="1:26" x14ac:dyDescent="0.3">
      <c r="A6" s="1">
        <v>4</v>
      </c>
      <c r="B6" s="1" t="s">
        <v>3</v>
      </c>
      <c r="C6" s="1">
        <v>1</v>
      </c>
      <c r="D6" s="1">
        <v>0.75048766260195998</v>
      </c>
      <c r="E6" s="1">
        <v>1.7166162890171699E-2</v>
      </c>
      <c r="F6" s="1">
        <v>9.5367571612064994E-3</v>
      </c>
      <c r="G6" s="1">
        <v>0</v>
      </c>
      <c r="H6" s="1">
        <f t="shared" ref="H6:H60" si="2">C6-(D6+E6+F6+G6)</f>
        <v>0.22280941734666182</v>
      </c>
      <c r="J6">
        <f t="shared" si="0"/>
        <v>0.77719058265333818</v>
      </c>
      <c r="L6">
        <f>AVERAGE(C7:C9)</f>
        <v>0.8686469344911244</v>
      </c>
      <c r="M6">
        <f>C6-L6</f>
        <v>0.1313530655088756</v>
      </c>
      <c r="P6">
        <v>10</v>
      </c>
      <c r="Q6" s="3">
        <v>0.14993188052627027</v>
      </c>
      <c r="R6" s="3">
        <v>6.0040450316191651E-2</v>
      </c>
      <c r="X6" s="3">
        <f t="shared" si="1"/>
        <v>0</v>
      </c>
    </row>
    <row r="7" spans="1:26" x14ac:dyDescent="0.3">
      <c r="A7" s="1">
        <v>4</v>
      </c>
      <c r="B7" s="1" t="s">
        <v>10</v>
      </c>
      <c r="C7" s="1">
        <v>0.87581113459905202</v>
      </c>
      <c r="D7" s="1">
        <v>0.78745473136218203</v>
      </c>
      <c r="E7" s="1">
        <v>1.7392033459033399E-2</v>
      </c>
      <c r="F7" s="1">
        <v>1.0139078668634401E-2</v>
      </c>
      <c r="G7" s="1">
        <v>4.8284174861283402E-4</v>
      </c>
      <c r="H7" s="1">
        <f t="shared" si="2"/>
        <v>6.0342449360589412E-2</v>
      </c>
      <c r="J7">
        <f t="shared" si="0"/>
        <v>0.81498584348984981</v>
      </c>
      <c r="L7">
        <f>AVERAGE(J7:J9)</f>
        <v>0.81572509952315775</v>
      </c>
      <c r="M7">
        <f>L7-J6</f>
        <v>3.8534516869819568E-2</v>
      </c>
      <c r="P7">
        <v>12</v>
      </c>
      <c r="Q7" s="3">
        <v>0.11682424177753237</v>
      </c>
      <c r="R7" s="3">
        <v>5.1497089438066079E-2</v>
      </c>
      <c r="X7" s="3">
        <f t="shared" si="1"/>
        <v>0.12418886540094798</v>
      </c>
    </row>
    <row r="8" spans="1:26" x14ac:dyDescent="0.3">
      <c r="A8" s="1">
        <v>4</v>
      </c>
      <c r="B8" s="1" t="s">
        <v>11</v>
      </c>
      <c r="C8" s="1">
        <v>0.86433349381375002</v>
      </c>
      <c r="D8" s="1">
        <v>0.78651355432926195</v>
      </c>
      <c r="E8" s="1">
        <v>1.7467323639117301E-2</v>
      </c>
      <c r="F8" s="1">
        <v>1.04151426877065E-2</v>
      </c>
      <c r="G8" s="1">
        <v>9.6555826472679998E-4</v>
      </c>
      <c r="H8" s="1">
        <f>C8-(D8+E8+F8+G8)</f>
        <v>4.8971914892937507E-2</v>
      </c>
      <c r="J8">
        <f t="shared" si="0"/>
        <v>0.81439602065608574</v>
      </c>
      <c r="P8">
        <v>14</v>
      </c>
      <c r="Q8" s="3">
        <v>0.12394594565094774</v>
      </c>
      <c r="R8" s="3">
        <v>3.9582109400926657E-2</v>
      </c>
      <c r="X8" s="3">
        <f t="shared" si="1"/>
        <v>0.13566650618624998</v>
      </c>
    </row>
    <row r="9" spans="1:26" x14ac:dyDescent="0.3">
      <c r="A9" s="1">
        <v>4</v>
      </c>
      <c r="B9" s="1" t="s">
        <v>9</v>
      </c>
      <c r="C9" s="1">
        <v>0.86579617506057105</v>
      </c>
      <c r="D9" s="1">
        <v>0.78968509752785199</v>
      </c>
      <c r="E9" s="1">
        <v>1.75426138287379E-2</v>
      </c>
      <c r="F9" s="1">
        <v>1.05657230669477E-2</v>
      </c>
      <c r="G9" s="1">
        <v>1.52385358067575E-3</v>
      </c>
      <c r="H9" s="1">
        <f>C9-(D9+E9+F9+G9)</f>
        <v>4.6478887056357721E-2</v>
      </c>
      <c r="J9">
        <f t="shared" si="0"/>
        <v>0.81779343442353758</v>
      </c>
      <c r="P9">
        <v>16</v>
      </c>
      <c r="Q9" s="3">
        <v>0.12032140188228235</v>
      </c>
      <c r="R9" s="3">
        <v>3.9826873596621848E-2</v>
      </c>
      <c r="X9" s="3">
        <f t="shared" si="1"/>
        <v>0.13420382493942895</v>
      </c>
    </row>
    <row r="10" spans="1:26" x14ac:dyDescent="0.3">
      <c r="A10" s="2">
        <v>6</v>
      </c>
      <c r="B10" s="2" t="s">
        <v>3</v>
      </c>
      <c r="C10" s="2">
        <v>1</v>
      </c>
      <c r="D10" s="2">
        <v>0.65368311267853596</v>
      </c>
      <c r="E10" s="2">
        <v>1.3060444781890401E-2</v>
      </c>
      <c r="F10" s="2">
        <v>8.4892933499020606E-3</v>
      </c>
      <c r="G10" s="2">
        <v>0</v>
      </c>
      <c r="H10" s="2">
        <f t="shared" si="2"/>
        <v>0.32476714918967153</v>
      </c>
      <c r="J10">
        <f t="shared" si="0"/>
        <v>0.67523285081032847</v>
      </c>
      <c r="L10">
        <f>AVERAGE(C11:C13)</f>
        <v>0.83979817260334322</v>
      </c>
      <c r="M10">
        <f>C10-L10</f>
        <v>0.16020182739665678</v>
      </c>
      <c r="P10">
        <v>18</v>
      </c>
      <c r="Q10" s="3">
        <v>8.4725642854994732E-2</v>
      </c>
      <c r="R10" s="3">
        <v>3.5284641678816731E-2</v>
      </c>
      <c r="X10" s="3">
        <f t="shared" si="1"/>
        <v>0</v>
      </c>
    </row>
    <row r="11" spans="1:26" x14ac:dyDescent="0.3">
      <c r="A11" s="2">
        <v>6</v>
      </c>
      <c r="B11" s="2" t="s">
        <v>10</v>
      </c>
      <c r="C11" s="2">
        <v>0.845169338137433</v>
      </c>
      <c r="D11" s="2">
        <v>0.70325671116063004</v>
      </c>
      <c r="E11" s="2">
        <v>1.36155136774167E-2</v>
      </c>
      <c r="F11" s="2">
        <v>9.3164501720157805E-3</v>
      </c>
      <c r="G11" s="2">
        <v>3.5275794437862602E-3</v>
      </c>
      <c r="H11" s="2">
        <f t="shared" si="2"/>
        <v>0.11545308368358431</v>
      </c>
      <c r="J11">
        <f t="shared" si="0"/>
        <v>0.72618867501006246</v>
      </c>
      <c r="L11">
        <f>AVERAGE(J11:J13)</f>
        <v>0.72819226065156106</v>
      </c>
      <c r="M11">
        <f>L11-J10</f>
        <v>5.2959409841232596E-2</v>
      </c>
      <c r="P11">
        <v>20</v>
      </c>
      <c r="Q11" s="3">
        <v>7.5626402145590688E-2</v>
      </c>
      <c r="R11" s="3">
        <v>3.1610997338911873E-2</v>
      </c>
      <c r="X11" s="3">
        <f t="shared" si="1"/>
        <v>0.154830661862567</v>
      </c>
    </row>
    <row r="12" spans="1:26" x14ac:dyDescent="0.3">
      <c r="A12" s="2">
        <v>6</v>
      </c>
      <c r="B12" s="2" t="s">
        <v>11</v>
      </c>
      <c r="C12" s="2">
        <v>0.834357294937211</v>
      </c>
      <c r="D12" s="2">
        <v>0.70104833100811903</v>
      </c>
      <c r="E12" s="2">
        <v>1.34522581154146E-2</v>
      </c>
      <c r="F12" s="2">
        <v>9.4035202401596199E-3</v>
      </c>
      <c r="G12" s="2">
        <v>3.3692946886663502E-3</v>
      </c>
      <c r="H12" s="2">
        <f t="shared" si="2"/>
        <v>0.10708389088485137</v>
      </c>
      <c r="J12">
        <f t="shared" si="0"/>
        <v>0.72390410936369332</v>
      </c>
      <c r="P12">
        <v>22</v>
      </c>
      <c r="Q12" s="3">
        <v>7.7544860126252613E-2</v>
      </c>
      <c r="R12" s="3">
        <v>1.9127083010035129E-2</v>
      </c>
      <c r="X12" s="3">
        <f t="shared" si="1"/>
        <v>0.165642705062789</v>
      </c>
    </row>
    <row r="13" spans="1:26" x14ac:dyDescent="0.3">
      <c r="A13" s="2">
        <v>6</v>
      </c>
      <c r="B13" s="2" t="s">
        <v>9</v>
      </c>
      <c r="C13" s="2">
        <v>0.83986788473538598</v>
      </c>
      <c r="D13" s="2">
        <v>0.71067045305107301</v>
      </c>
      <c r="E13" s="2">
        <v>1.37134670171647E-2</v>
      </c>
      <c r="F13" s="2">
        <v>1.01000775126893E-2</v>
      </c>
      <c r="G13" s="2">
        <v>5.2348923731486297E-3</v>
      </c>
      <c r="H13" s="2">
        <f>C13-(D13+E13+F13+G13)</f>
        <v>0.10014899478131034</v>
      </c>
      <c r="J13">
        <f t="shared" si="0"/>
        <v>0.73448399758092697</v>
      </c>
      <c r="P13">
        <v>24</v>
      </c>
      <c r="Q13" s="3">
        <v>7.9846895925300032E-2</v>
      </c>
      <c r="R13" s="3">
        <v>2.3751170876131489E-2</v>
      </c>
      <c r="X13" s="3">
        <f t="shared" si="1"/>
        <v>0.16013211526461402</v>
      </c>
    </row>
    <row r="14" spans="1:26" x14ac:dyDescent="0.3">
      <c r="A14" s="5">
        <v>8</v>
      </c>
      <c r="B14" s="5" t="s">
        <v>3</v>
      </c>
      <c r="C14" s="5">
        <v>1</v>
      </c>
      <c r="D14" s="5">
        <v>0.57816914510296202</v>
      </c>
      <c r="E14" s="5">
        <v>1.0264362422349E-2</v>
      </c>
      <c r="F14" s="5">
        <v>7.60323142396229E-3</v>
      </c>
      <c r="G14" s="5">
        <v>0</v>
      </c>
      <c r="H14" s="5">
        <f t="shared" si="2"/>
        <v>0.40396326105072677</v>
      </c>
      <c r="I14" s="5"/>
      <c r="J14" s="5">
        <f t="shared" si="0"/>
        <v>0.59603673894927323</v>
      </c>
      <c r="K14" s="5"/>
      <c r="L14" s="5">
        <f>AVERAGE(C15:C17)</f>
        <v>0.83253325958466429</v>
      </c>
      <c r="M14" s="5">
        <f>C14-L14</f>
        <v>0.16746674041533571</v>
      </c>
      <c r="N14" s="5"/>
      <c r="O14" s="5"/>
      <c r="P14" s="5">
        <v>26</v>
      </c>
      <c r="Q14" s="6">
        <v>6.8556666881595008E-2</v>
      </c>
      <c r="R14" s="6">
        <v>2.0320434351508848E-2</v>
      </c>
      <c r="S14" s="5"/>
      <c r="T14" s="5"/>
      <c r="U14" s="5"/>
      <c r="V14" s="5"/>
      <c r="W14" s="5"/>
      <c r="X14" s="3">
        <f t="shared" si="1"/>
        <v>0</v>
      </c>
      <c r="Y14" s="5"/>
      <c r="Z14" s="5"/>
    </row>
    <row r="15" spans="1:26" x14ac:dyDescent="0.3">
      <c r="A15" s="5">
        <v>8</v>
      </c>
      <c r="B15" s="5" t="s">
        <v>10</v>
      </c>
      <c r="C15" s="5">
        <v>0.83870475706417102</v>
      </c>
      <c r="D15" s="5">
        <v>0.62900361729999998</v>
      </c>
      <c r="E15" s="5">
        <v>1.05003247772004E-2</v>
      </c>
      <c r="F15" s="5">
        <v>8.2586824091536795E-3</v>
      </c>
      <c r="G15" s="5">
        <v>5.2216114684291203E-3</v>
      </c>
      <c r="H15" s="5">
        <f t="shared" si="2"/>
        <v>0.18572052110938775</v>
      </c>
      <c r="I15" s="5"/>
      <c r="J15" s="5">
        <f t="shared" si="0"/>
        <v>0.64776262448635413</v>
      </c>
      <c r="K15" s="5"/>
      <c r="L15" s="5">
        <f>AVERAGE(J15:J17)</f>
        <v>0.64802281216238156</v>
      </c>
      <c r="M15" s="5">
        <f>L15-J14</f>
        <v>5.198607321310833E-2</v>
      </c>
      <c r="N15" s="5"/>
      <c r="O15" s="5"/>
      <c r="P15" s="5">
        <v>28</v>
      </c>
      <c r="Q15" s="6">
        <v>6.3856372158687003E-2</v>
      </c>
      <c r="R15" s="6">
        <v>1.733263650081393E-2</v>
      </c>
      <c r="S15" s="5"/>
      <c r="T15" s="5"/>
      <c r="U15" s="5"/>
      <c r="V15" s="5"/>
      <c r="W15" s="5"/>
      <c r="X15" s="3">
        <f t="shared" si="1"/>
        <v>0.16129524293582898</v>
      </c>
      <c r="Y15" s="5"/>
      <c r="Z15" s="5">
        <f>J15-J14</f>
        <v>5.1725885537080907E-2</v>
      </c>
    </row>
    <row r="16" spans="1:26" x14ac:dyDescent="0.3">
      <c r="A16" s="5">
        <v>8</v>
      </c>
      <c r="B16" s="5" t="s">
        <v>11</v>
      </c>
      <c r="C16" s="5">
        <v>0.82591981652334401</v>
      </c>
      <c r="D16" s="5">
        <v>0.62747921349823799</v>
      </c>
      <c r="E16" s="5">
        <v>1.05003247772004E-2</v>
      </c>
      <c r="F16" s="5">
        <v>8.4159906457212594E-3</v>
      </c>
      <c r="G16" s="5">
        <v>5.5816611817137603E-3</v>
      </c>
      <c r="H16" s="5">
        <f t="shared" si="2"/>
        <v>0.17394262642047054</v>
      </c>
      <c r="I16" s="5"/>
      <c r="J16" s="5">
        <f t="shared" si="0"/>
        <v>0.6463955289211597</v>
      </c>
      <c r="K16" s="5"/>
      <c r="L16" s="5"/>
      <c r="M16" s="5"/>
      <c r="N16" s="5"/>
      <c r="O16" s="5"/>
      <c r="P16" s="5">
        <v>30</v>
      </c>
      <c r="Q16" s="6">
        <v>6.2366937818794987E-2</v>
      </c>
      <c r="R16" s="6">
        <v>1.7166806312261695E-2</v>
      </c>
      <c r="S16" s="5"/>
      <c r="T16" s="5"/>
      <c r="U16" s="5"/>
      <c r="V16" s="5"/>
      <c r="W16" s="5"/>
      <c r="X16" s="3">
        <f t="shared" si="1"/>
        <v>0.17408018347665599</v>
      </c>
      <c r="Y16" s="5"/>
      <c r="Z16" s="5">
        <f>J16-J14</f>
        <v>5.0358789971886475E-2</v>
      </c>
    </row>
    <row r="17" spans="1:26" x14ac:dyDescent="0.3">
      <c r="A17" s="5">
        <v>8</v>
      </c>
      <c r="B17" s="5" t="s">
        <v>9</v>
      </c>
      <c r="C17" s="5">
        <v>0.83297520516647805</v>
      </c>
      <c r="D17" s="5">
        <v>0.630744896283158</v>
      </c>
      <c r="E17" s="5">
        <v>1.0303689481490901E-2</v>
      </c>
      <c r="F17" s="5">
        <v>8.8616973149823197E-3</v>
      </c>
      <c r="G17" s="5">
        <v>9.5682205164455605E-3</v>
      </c>
      <c r="H17" s="5">
        <f>C17-(D17+E17+F17+G17)</f>
        <v>0.17349670157040131</v>
      </c>
      <c r="I17" s="5"/>
      <c r="J17" s="5">
        <f t="shared" si="0"/>
        <v>0.64991028307963117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3">
        <f t="shared" si="1"/>
        <v>0.16702479483352195</v>
      </c>
      <c r="Y17" s="5"/>
      <c r="Z17" s="5">
        <f>J17-J14</f>
        <v>5.3873544130357942E-2</v>
      </c>
    </row>
    <row r="18" spans="1:26" x14ac:dyDescent="0.3">
      <c r="A18" s="2">
        <v>10</v>
      </c>
      <c r="B18" s="2" t="s">
        <v>3</v>
      </c>
      <c r="C18" s="2">
        <v>1</v>
      </c>
      <c r="D18" s="2">
        <v>0.50147047988656501</v>
      </c>
      <c r="E18" s="2">
        <v>8.2970021157078092E-3</v>
      </c>
      <c r="F18" s="2">
        <v>6.8588550829128897E-3</v>
      </c>
      <c r="G18" s="2">
        <v>0</v>
      </c>
      <c r="H18" s="2">
        <f t="shared" si="2"/>
        <v>0.48337366291481432</v>
      </c>
      <c r="J18">
        <f t="shared" si="0"/>
        <v>0.51662633708518568</v>
      </c>
      <c r="L18">
        <f>AVERAGE(C19:C21)</f>
        <v>0.85006811947372973</v>
      </c>
      <c r="M18">
        <f>C18-L18</f>
        <v>0.14993188052627027</v>
      </c>
      <c r="X18" s="3">
        <f t="shared" si="1"/>
        <v>0</v>
      </c>
    </row>
    <row r="19" spans="1:26" x14ac:dyDescent="0.3">
      <c r="A19" s="2">
        <v>10</v>
      </c>
      <c r="B19" s="2" t="s">
        <v>10</v>
      </c>
      <c r="C19" s="2">
        <v>0.86483487163380701</v>
      </c>
      <c r="D19" s="2">
        <v>0.55469883275229104</v>
      </c>
      <c r="E19" s="2">
        <v>7.6996179646525997E-3</v>
      </c>
      <c r="F19" s="2">
        <v>7.7881193201739599E-3</v>
      </c>
      <c r="G19" s="2">
        <v>1.8324556977856499E-2</v>
      </c>
      <c r="H19" s="2">
        <f t="shared" si="2"/>
        <v>0.27632374461883291</v>
      </c>
      <c r="J19">
        <f t="shared" si="0"/>
        <v>0.57018657003711759</v>
      </c>
      <c r="L19">
        <f>AVERAGE(J19:J21)</f>
        <v>0.57666678740137733</v>
      </c>
      <c r="M19">
        <f>L19-J18</f>
        <v>6.0040450316191651E-2</v>
      </c>
      <c r="X19" s="3">
        <f t="shared" si="1"/>
        <v>0.13516512836619299</v>
      </c>
    </row>
    <row r="20" spans="1:26" x14ac:dyDescent="0.3">
      <c r="A20" s="2">
        <v>10</v>
      </c>
      <c r="B20" s="2" t="s">
        <v>11</v>
      </c>
      <c r="C20" s="2">
        <v>0.83896696135392301</v>
      </c>
      <c r="D20" s="2">
        <v>0.55786441951497301</v>
      </c>
      <c r="E20" s="2">
        <v>7.5668659305132002E-3</v>
      </c>
      <c r="F20" s="2">
        <v>7.8987460150043397E-3</v>
      </c>
      <c r="G20" s="2">
        <v>1.9964624285475002E-2</v>
      </c>
      <c r="H20" s="2">
        <f t="shared" si="2"/>
        <v>0.24567230560795761</v>
      </c>
      <c r="J20">
        <f t="shared" si="0"/>
        <v>0.57333003146049044</v>
      </c>
      <c r="X20" s="3">
        <f t="shared" si="1"/>
        <v>0.16103303864607699</v>
      </c>
    </row>
    <row r="21" spans="1:26" x14ac:dyDescent="0.3">
      <c r="A21" s="2">
        <v>10</v>
      </c>
      <c r="B21" s="2" t="s">
        <v>9</v>
      </c>
      <c r="C21" s="2">
        <v>0.84640252543345895</v>
      </c>
      <c r="D21" s="2">
        <v>0.5704539526172</v>
      </c>
      <c r="E21" s="2">
        <v>7.4009258874102798E-3</v>
      </c>
      <c r="F21" s="2">
        <v>8.6288822019136603E-3</v>
      </c>
      <c r="G21" s="2">
        <v>3.1216571076323699E-2</v>
      </c>
      <c r="H21" s="2">
        <f>C21-(D21+E21+F21+G21)</f>
        <v>0.22870219365061129</v>
      </c>
      <c r="J21">
        <f t="shared" si="0"/>
        <v>0.58648376070652397</v>
      </c>
      <c r="X21" s="3">
        <f t="shared" si="1"/>
        <v>0.15359747456654105</v>
      </c>
    </row>
    <row r="22" spans="1:26" x14ac:dyDescent="0.3">
      <c r="A22" s="1">
        <v>12</v>
      </c>
      <c r="B22" s="1" t="s">
        <v>3</v>
      </c>
      <c r="C22" s="1">
        <v>1</v>
      </c>
      <c r="D22" s="1">
        <v>0.44749082673655299</v>
      </c>
      <c r="E22" s="1">
        <v>6.9873287966497498E-3</v>
      </c>
      <c r="F22" s="1">
        <v>6.2644954151668602E-3</v>
      </c>
      <c r="G22" s="1">
        <v>0</v>
      </c>
      <c r="H22" s="1">
        <f t="shared" si="2"/>
        <v>0.53925734905163036</v>
      </c>
      <c r="J22">
        <f t="shared" si="0"/>
        <v>0.46074265094836964</v>
      </c>
      <c r="L22">
        <f>AVERAGE(C23:C25)</f>
        <v>0.88317575822246763</v>
      </c>
      <c r="M22">
        <f>C22-L22</f>
        <v>0.11682424177753237</v>
      </c>
      <c r="X22" s="3">
        <f t="shared" si="1"/>
        <v>0</v>
      </c>
    </row>
    <row r="23" spans="1:26" x14ac:dyDescent="0.3">
      <c r="A23" s="1">
        <v>12</v>
      </c>
      <c r="B23" s="1" t="s">
        <v>10</v>
      </c>
      <c r="C23" s="1">
        <v>0.88386823511052803</v>
      </c>
      <c r="D23" s="1">
        <v>0.49242300969987302</v>
      </c>
      <c r="E23" s="1">
        <v>6.0235593071326504E-3</v>
      </c>
      <c r="F23" s="1">
        <v>7.2443333514923E-3</v>
      </c>
      <c r="G23" s="1">
        <v>2.4095885757205601E-2</v>
      </c>
      <c r="H23" s="1">
        <f t="shared" si="2"/>
        <v>0.35408144699482447</v>
      </c>
      <c r="J23">
        <f t="shared" si="0"/>
        <v>0.50569090235849801</v>
      </c>
      <c r="L23">
        <f>AVERAGE(J23:J25)</f>
        <v>0.51223974038643572</v>
      </c>
      <c r="M23">
        <f>L23-J22</f>
        <v>5.1497089438066079E-2</v>
      </c>
      <c r="X23" s="3">
        <f t="shared" si="1"/>
        <v>0.11613176488947197</v>
      </c>
    </row>
    <row r="24" spans="1:26" x14ac:dyDescent="0.3">
      <c r="A24" s="1">
        <v>12</v>
      </c>
      <c r="B24" s="1" t="s">
        <v>11</v>
      </c>
      <c r="C24" s="1">
        <v>0.88204164662028395</v>
      </c>
      <c r="D24" s="1">
        <v>0.49351782308069903</v>
      </c>
      <c r="E24" s="1">
        <v>5.9994650695658399E-3</v>
      </c>
      <c r="F24" s="1">
        <v>7.2282702044523701E-3</v>
      </c>
      <c r="G24" s="1">
        <v>2.2798865989306399E-2</v>
      </c>
      <c r="H24" s="1">
        <f t="shared" si="2"/>
        <v>0.35249722227626035</v>
      </c>
      <c r="J24">
        <f t="shared" si="0"/>
        <v>0.50674555835471724</v>
      </c>
      <c r="X24" s="3">
        <f t="shared" si="1"/>
        <v>0.11795835337971605</v>
      </c>
    </row>
    <row r="25" spans="1:26" x14ac:dyDescent="0.3">
      <c r="A25" s="1">
        <v>12</v>
      </c>
      <c r="B25" s="1" t="s">
        <v>9</v>
      </c>
      <c r="C25" s="1">
        <v>0.88361739293659103</v>
      </c>
      <c r="D25" s="1">
        <v>0.51066148483901597</v>
      </c>
      <c r="E25" s="1">
        <v>5.9753708319990198E-3</v>
      </c>
      <c r="F25" s="1">
        <v>7.64590477507693E-3</v>
      </c>
      <c r="G25" s="1">
        <v>2.7047142125879699E-2</v>
      </c>
      <c r="H25" s="1">
        <f>C25-(D25+E25+F25+G25)</f>
        <v>0.33228749036461935</v>
      </c>
      <c r="J25">
        <f t="shared" si="0"/>
        <v>0.52428276044609201</v>
      </c>
      <c r="X25" s="3">
        <f t="shared" si="1"/>
        <v>0.11638260706340897</v>
      </c>
    </row>
    <row r="26" spans="1:26" x14ac:dyDescent="0.3">
      <c r="A26" s="2">
        <v>14</v>
      </c>
      <c r="B26" s="2" t="s">
        <v>3</v>
      </c>
      <c r="C26" s="2">
        <v>1</v>
      </c>
      <c r="D26" s="2">
        <v>0.38429431607090703</v>
      </c>
      <c r="E26" s="2">
        <v>6.1161882708825497E-3</v>
      </c>
      <c r="F26" s="2">
        <v>5.5782772474203199E-3</v>
      </c>
      <c r="G26" s="2">
        <v>0</v>
      </c>
      <c r="H26" s="2">
        <f t="shared" si="2"/>
        <v>0.60401121841079009</v>
      </c>
      <c r="J26">
        <f t="shared" si="0"/>
        <v>0.39598878158920991</v>
      </c>
      <c r="L26">
        <f>AVERAGE(C27:C29)</f>
        <v>0.87605405434905226</v>
      </c>
      <c r="M26">
        <f>C26-L26</f>
        <v>0.12394594565094774</v>
      </c>
      <c r="X26" s="3">
        <f t="shared" si="1"/>
        <v>0</v>
      </c>
    </row>
    <row r="27" spans="1:26" x14ac:dyDescent="0.3">
      <c r="A27" s="2">
        <v>14</v>
      </c>
      <c r="B27" s="2" t="s">
        <v>10</v>
      </c>
      <c r="C27" s="2">
        <v>0.87725100450352</v>
      </c>
      <c r="D27" s="2">
        <v>0.42137603580520999</v>
      </c>
      <c r="E27" s="2">
        <v>5.21967873109853E-3</v>
      </c>
      <c r="F27" s="2">
        <v>6.5345604135467802E-3</v>
      </c>
      <c r="G27" s="2">
        <v>2.8426920454939799E-2</v>
      </c>
      <c r="H27" s="2">
        <f t="shared" si="2"/>
        <v>0.41569380909872494</v>
      </c>
      <c r="J27">
        <f t="shared" si="0"/>
        <v>0.43313027494985529</v>
      </c>
      <c r="L27">
        <f>AVERAGE(J27:J29)</f>
        <v>0.43557089099013657</v>
      </c>
      <c r="M27">
        <f>L27-J26</f>
        <v>3.9582109400926657E-2</v>
      </c>
      <c r="X27" s="3">
        <f t="shared" si="1"/>
        <v>0.12274899549648</v>
      </c>
    </row>
    <row r="28" spans="1:26" x14ac:dyDescent="0.3">
      <c r="A28" s="2">
        <v>14</v>
      </c>
      <c r="B28" s="2" t="s">
        <v>11</v>
      </c>
      <c r="C28" s="2">
        <v>0.875541430843502</v>
      </c>
      <c r="D28" s="2">
        <v>0.419444977903843</v>
      </c>
      <c r="E28" s="2">
        <v>5.2595230104729102E-3</v>
      </c>
      <c r="F28" s="2">
        <v>6.4814333117489999E-3</v>
      </c>
      <c r="G28" s="2">
        <v>2.4836846870619E-2</v>
      </c>
      <c r="H28" s="2">
        <f t="shared" si="2"/>
        <v>0.41951864974681813</v>
      </c>
      <c r="J28">
        <f t="shared" si="0"/>
        <v>0.43118593422606488</v>
      </c>
      <c r="X28" s="3">
        <f t="shared" si="1"/>
        <v>0.124458569156498</v>
      </c>
    </row>
    <row r="29" spans="1:26" x14ac:dyDescent="0.3">
      <c r="A29" s="2">
        <v>14</v>
      </c>
      <c r="B29" s="2" t="s">
        <v>9</v>
      </c>
      <c r="C29" s="2">
        <v>0.87536972770013499</v>
      </c>
      <c r="D29" s="2">
        <v>0.43072855508642799</v>
      </c>
      <c r="E29" s="2">
        <v>4.8809984018321701E-3</v>
      </c>
      <c r="F29" s="2">
        <v>6.7869103062293198E-3</v>
      </c>
      <c r="G29" s="2">
        <v>3.2542303719309398E-2</v>
      </c>
      <c r="H29" s="2">
        <f>C29-(D29+E29+F29+G29)</f>
        <v>0.40043096018633617</v>
      </c>
      <c r="J29">
        <f t="shared" si="0"/>
        <v>0.44239646379448944</v>
      </c>
      <c r="X29" s="3">
        <f t="shared" si="1"/>
        <v>0.12463027229986501</v>
      </c>
    </row>
    <row r="30" spans="1:26" x14ac:dyDescent="0.3">
      <c r="A30" s="1">
        <v>16</v>
      </c>
      <c r="B30" s="1" t="s">
        <v>3</v>
      </c>
      <c r="C30" s="1">
        <v>1</v>
      </c>
      <c r="D30" s="1">
        <v>0.33306831422836097</v>
      </c>
      <c r="E30" s="1">
        <v>5.4674442548262999E-3</v>
      </c>
      <c r="F30" s="1">
        <v>4.9806945589320698E-3</v>
      </c>
      <c r="G30" s="1">
        <v>0</v>
      </c>
      <c r="H30" s="1">
        <f t="shared" si="2"/>
        <v>0.65648354695788069</v>
      </c>
      <c r="J30">
        <f>D30+E30+F30</f>
        <v>0.34351645304211936</v>
      </c>
      <c r="L30">
        <f>AVERAGE(C31:C33)</f>
        <v>0.87967859811771765</v>
      </c>
      <c r="M30">
        <f>C30-L30</f>
        <v>0.12032140188228235</v>
      </c>
      <c r="N30" t="s">
        <v>12</v>
      </c>
      <c r="X30" s="3">
        <f t="shared" si="1"/>
        <v>0</v>
      </c>
    </row>
    <row r="31" spans="1:26" x14ac:dyDescent="0.3">
      <c r="A31" s="1">
        <v>16</v>
      </c>
      <c r="B31" s="1" t="s">
        <v>10</v>
      </c>
      <c r="C31" s="1">
        <v>0.88486798889218199</v>
      </c>
      <c r="D31" s="1">
        <v>0.36796620850565598</v>
      </c>
      <c r="E31" s="1">
        <v>4.6014825870126699E-3</v>
      </c>
      <c r="F31" s="1">
        <v>5.9541939507205301E-3</v>
      </c>
      <c r="G31" s="1">
        <v>2.52068967071905E-2</v>
      </c>
      <c r="H31" s="1">
        <f t="shared" si="2"/>
        <v>0.4811392071416023</v>
      </c>
      <c r="J31">
        <f t="shared" ref="J31:J61" si="3">D31+E31+F31</f>
        <v>0.37852188504338918</v>
      </c>
      <c r="L31">
        <f>AVERAGE(J31:J33)</f>
        <v>0.38334332663874121</v>
      </c>
      <c r="M31">
        <f>L31-J30</f>
        <v>3.9826873596621848E-2</v>
      </c>
      <c r="N31" t="s">
        <v>13</v>
      </c>
      <c r="X31" s="3">
        <f t="shared" si="1"/>
        <v>0.11513201110781801</v>
      </c>
    </row>
    <row r="32" spans="1:26" x14ac:dyDescent="0.3">
      <c r="A32" s="1">
        <v>16</v>
      </c>
      <c r="B32" s="1" t="s">
        <v>11</v>
      </c>
      <c r="C32" s="1">
        <v>0.87727907891704704</v>
      </c>
      <c r="D32" s="1">
        <v>0.36835464570210702</v>
      </c>
      <c r="E32" s="1">
        <v>4.6694011489988099E-3</v>
      </c>
      <c r="F32" s="1">
        <v>5.88627538873439E-3</v>
      </c>
      <c r="G32" s="1">
        <v>2.2302762388632401E-2</v>
      </c>
      <c r="H32" s="1">
        <f t="shared" si="2"/>
        <v>0.47606599428857443</v>
      </c>
      <c r="J32">
        <f t="shared" si="3"/>
        <v>0.37891032223984022</v>
      </c>
      <c r="X32" s="3">
        <f t="shared" si="1"/>
        <v>0.12272092108295296</v>
      </c>
    </row>
    <row r="33" spans="1:24" x14ac:dyDescent="0.3">
      <c r="A33" s="1">
        <v>16</v>
      </c>
      <c r="B33" s="1" t="s">
        <v>9</v>
      </c>
      <c r="C33" s="1">
        <v>0.87688872654392402</v>
      </c>
      <c r="D33" s="1">
        <v>0.38213831405923698</v>
      </c>
      <c r="E33" s="1">
        <v>4.3807472590635102E-3</v>
      </c>
      <c r="F33" s="1">
        <v>6.0787113146938297E-3</v>
      </c>
      <c r="G33" s="1">
        <v>2.4127197141012701E-2</v>
      </c>
      <c r="H33" s="1">
        <f>C33-(D33+E33+F33+G33)</f>
        <v>0.460163756769917</v>
      </c>
      <c r="J33">
        <f t="shared" si="3"/>
        <v>0.39259777263299434</v>
      </c>
      <c r="X33" s="3">
        <f t="shared" si="1"/>
        <v>0.12311127345607598</v>
      </c>
    </row>
    <row r="34" spans="1:24" x14ac:dyDescent="0.3">
      <c r="A34" s="2">
        <v>18</v>
      </c>
      <c r="B34" s="2" t="s">
        <v>3</v>
      </c>
      <c r="C34" s="2">
        <v>1</v>
      </c>
      <c r="D34" s="2">
        <v>0.29967512740232999</v>
      </c>
      <c r="E34" s="2">
        <v>4.9742641136774103E-3</v>
      </c>
      <c r="F34" s="2">
        <v>4.6057959254928796E-3</v>
      </c>
      <c r="G34" s="2">
        <v>0</v>
      </c>
      <c r="H34" s="2">
        <f t="shared" si="2"/>
        <v>0.69074481255849973</v>
      </c>
      <c r="J34">
        <f t="shared" si="3"/>
        <v>0.30925518744150027</v>
      </c>
      <c r="L34">
        <f>AVERAGE(C35:C37)</f>
        <v>0.91527435714500527</v>
      </c>
      <c r="M34">
        <f>C34-L34</f>
        <v>8.4725642854994732E-2</v>
      </c>
      <c r="X34" s="3">
        <f t="shared" si="1"/>
        <v>0</v>
      </c>
    </row>
    <row r="35" spans="1:24" x14ac:dyDescent="0.3">
      <c r="A35" s="2">
        <v>18</v>
      </c>
      <c r="B35" s="2" t="s">
        <v>10</v>
      </c>
      <c r="C35" s="2">
        <v>0.91600849393065797</v>
      </c>
      <c r="D35" s="2">
        <v>0.33313914972007602</v>
      </c>
      <c r="E35" s="2">
        <v>4.0684592853494203E-3</v>
      </c>
      <c r="F35" s="2">
        <v>5.4757842063390197E-3</v>
      </c>
      <c r="G35" s="2">
        <v>2.4354161472882399E-2</v>
      </c>
      <c r="H35" s="2">
        <f t="shared" si="2"/>
        <v>0.54897093924601115</v>
      </c>
      <c r="J35">
        <f t="shared" si="3"/>
        <v>0.3426833932117645</v>
      </c>
      <c r="L35">
        <f>AVERAGE(J35:J37)</f>
        <v>0.344539829120317</v>
      </c>
      <c r="M35">
        <f>L35-J34</f>
        <v>3.5284641678816731E-2</v>
      </c>
      <c r="X35" s="3">
        <f t="shared" si="1"/>
        <v>8.3991506069342026E-2</v>
      </c>
    </row>
    <row r="36" spans="1:24" x14ac:dyDescent="0.3">
      <c r="A36" s="2">
        <v>18</v>
      </c>
      <c r="B36" s="2" t="s">
        <v>11</v>
      </c>
      <c r="C36" s="2">
        <v>0.91536940974496295</v>
      </c>
      <c r="D36" s="2">
        <v>0.332843707420936</v>
      </c>
      <c r="E36" s="2">
        <v>4.11451729020178E-3</v>
      </c>
      <c r="F36" s="2">
        <v>5.4553137251868097E-3</v>
      </c>
      <c r="G36" s="2">
        <v>2.38359264646766E-2</v>
      </c>
      <c r="H36" s="2">
        <f t="shared" si="2"/>
        <v>0.54911994484396176</v>
      </c>
      <c r="J36">
        <f t="shared" si="3"/>
        <v>0.3424135384363246</v>
      </c>
      <c r="X36" s="3">
        <f t="shared" si="1"/>
        <v>8.4630590255037053E-2</v>
      </c>
    </row>
    <row r="37" spans="1:24" x14ac:dyDescent="0.3">
      <c r="A37" s="2">
        <v>18</v>
      </c>
      <c r="B37" s="2" t="s">
        <v>9</v>
      </c>
      <c r="C37" s="2">
        <v>0.91444516775939499</v>
      </c>
      <c r="D37" s="2">
        <v>0.33904483932474699</v>
      </c>
      <c r="E37" s="2">
        <v>3.8995807003990401E-3</v>
      </c>
      <c r="F37" s="2">
        <v>5.5781356877158701E-3</v>
      </c>
      <c r="G37" s="2">
        <v>2.55240260522041E-2</v>
      </c>
      <c r="H37" s="2">
        <f>C37-(D37+E37+F37+G37)</f>
        <v>0.54039858599432899</v>
      </c>
      <c r="J37">
        <f t="shared" si="3"/>
        <v>0.34852255571286189</v>
      </c>
      <c r="X37" s="3">
        <f t="shared" si="1"/>
        <v>8.5554832240605005E-2</v>
      </c>
    </row>
    <row r="38" spans="1:24" x14ac:dyDescent="0.3">
      <c r="A38" s="1">
        <v>20</v>
      </c>
      <c r="B38" s="1" t="s">
        <v>3</v>
      </c>
      <c r="C38" s="1">
        <v>1</v>
      </c>
      <c r="D38" s="1">
        <v>0.271895843024405</v>
      </c>
      <c r="E38" s="1">
        <v>4.6527950248215402E-3</v>
      </c>
      <c r="F38" s="1">
        <v>4.2426702360443703E-3</v>
      </c>
      <c r="G38" s="1">
        <v>0</v>
      </c>
      <c r="H38" s="1">
        <f t="shared" si="2"/>
        <v>0.71920869171472912</v>
      </c>
      <c r="J38">
        <f t="shared" si="3"/>
        <v>0.28079130828527088</v>
      </c>
      <c r="L38">
        <f>AVERAGE(C39:C41)</f>
        <v>0.92437359785440931</v>
      </c>
      <c r="M38">
        <f>C38-L38</f>
        <v>7.5626402145590688E-2</v>
      </c>
      <c r="X38" s="3">
        <f t="shared" si="1"/>
        <v>0</v>
      </c>
    </row>
    <row r="39" spans="1:24" x14ac:dyDescent="0.3">
      <c r="A39" s="1">
        <v>20</v>
      </c>
      <c r="B39" s="1" t="s">
        <v>10</v>
      </c>
      <c r="C39" s="1">
        <v>0.92440360703881197</v>
      </c>
      <c r="D39" s="1">
        <v>0.30138675181110702</v>
      </c>
      <c r="E39" s="1">
        <v>3.7901187449067399E-3</v>
      </c>
      <c r="F39" s="1">
        <v>5.06291981572006E-3</v>
      </c>
      <c r="G39" s="1">
        <v>2.24223335386508E-2</v>
      </c>
      <c r="H39" s="1">
        <f t="shared" si="2"/>
        <v>0.59174148312842734</v>
      </c>
      <c r="J39">
        <f t="shared" si="3"/>
        <v>0.31023979037173383</v>
      </c>
      <c r="L39">
        <f>AVERAGE(J39:J41)</f>
        <v>0.31240230562418275</v>
      </c>
      <c r="M39">
        <f>L39-J38</f>
        <v>3.1610997338911873E-2</v>
      </c>
      <c r="X39" s="3">
        <f t="shared" si="1"/>
        <v>7.559639296118803E-2</v>
      </c>
    </row>
    <row r="40" spans="1:24" x14ac:dyDescent="0.3">
      <c r="A40" s="1">
        <v>20</v>
      </c>
      <c r="B40" s="1" t="s">
        <v>11</v>
      </c>
      <c r="C40" s="1">
        <v>0.92440360703881197</v>
      </c>
      <c r="D40" s="1">
        <v>0.30136917909525601</v>
      </c>
      <c r="E40" s="1">
        <v>3.7759765100794799E-3</v>
      </c>
      <c r="F40" s="1">
        <v>5.0534916584614401E-3</v>
      </c>
      <c r="G40" s="1">
        <v>2.24223335386508E-2</v>
      </c>
      <c r="H40" s="1">
        <f t="shared" si="2"/>
        <v>0.59178262623636424</v>
      </c>
      <c r="J40">
        <f t="shared" si="3"/>
        <v>0.31019864726379692</v>
      </c>
      <c r="X40" s="3">
        <f t="shared" si="1"/>
        <v>7.559639296118803E-2</v>
      </c>
    </row>
    <row r="41" spans="1:24" x14ac:dyDescent="0.3">
      <c r="A41" s="1">
        <v>20</v>
      </c>
      <c r="B41" s="1" t="s">
        <v>9</v>
      </c>
      <c r="C41" s="1">
        <v>0.924313579485604</v>
      </c>
      <c r="D41" s="1">
        <v>0.30806157709586801</v>
      </c>
      <c r="E41" s="1">
        <v>3.5779852331045301E-3</v>
      </c>
      <c r="F41" s="1">
        <v>5.1289169080450401E-3</v>
      </c>
      <c r="G41" s="1">
        <v>2.3914723892952201E-2</v>
      </c>
      <c r="H41" s="1">
        <f>C41-(D41+E41+F41+G41)</f>
        <v>0.5836303763556342</v>
      </c>
      <c r="J41">
        <f t="shared" si="3"/>
        <v>0.31676847923701762</v>
      </c>
      <c r="X41" s="3">
        <f t="shared" si="1"/>
        <v>7.5686420514396002E-2</v>
      </c>
    </row>
    <row r="42" spans="1:24" x14ac:dyDescent="0.3">
      <c r="A42" s="2">
        <v>22</v>
      </c>
      <c r="B42" s="2" t="s">
        <v>3</v>
      </c>
      <c r="C42" s="2">
        <v>1</v>
      </c>
      <c r="D42" s="2">
        <v>0.24543752156409099</v>
      </c>
      <c r="E42" s="2">
        <v>4.2163807429469501E-3</v>
      </c>
      <c r="F42" s="2">
        <v>3.8629573537048399E-3</v>
      </c>
      <c r="G42" s="2">
        <v>0</v>
      </c>
      <c r="H42" s="2">
        <f t="shared" si="2"/>
        <v>0.74648314033925722</v>
      </c>
      <c r="J42">
        <f t="shared" si="3"/>
        <v>0.25351685966074278</v>
      </c>
      <c r="L42">
        <f>AVERAGE(C43:C45)</f>
        <v>0.92245513987374739</v>
      </c>
      <c r="M42">
        <f>C42-L42</f>
        <v>7.7544860126252613E-2</v>
      </c>
      <c r="X42" s="3">
        <f t="shared" si="1"/>
        <v>0</v>
      </c>
    </row>
    <row r="43" spans="1:24" x14ac:dyDescent="0.3">
      <c r="A43" s="2">
        <v>22</v>
      </c>
      <c r="B43" s="2" t="s">
        <v>10</v>
      </c>
      <c r="C43" s="2">
        <v>0.92248391669429397</v>
      </c>
      <c r="D43" s="2">
        <v>0.26961272041920498</v>
      </c>
      <c r="E43" s="2">
        <v>3.4273501618426599E-3</v>
      </c>
      <c r="F43" s="2">
        <v>4.5369239228099803E-3</v>
      </c>
      <c r="G43" s="2">
        <v>1.94149069561972E-2</v>
      </c>
      <c r="H43" s="2">
        <f t="shared" si="2"/>
        <v>0.62549201523423914</v>
      </c>
      <c r="J43">
        <f t="shared" si="3"/>
        <v>0.27757699450385759</v>
      </c>
      <c r="L43">
        <f>AVERAGE(J42:J45)</f>
        <v>0.27264394267077791</v>
      </c>
      <c r="M43">
        <f>L43-J42</f>
        <v>1.9127083010035129E-2</v>
      </c>
      <c r="X43" s="3">
        <f t="shared" si="1"/>
        <v>7.7516083305706029E-2</v>
      </c>
    </row>
    <row r="44" spans="1:24" x14ac:dyDescent="0.3">
      <c r="A44" s="2">
        <v>22</v>
      </c>
      <c r="B44" s="2" t="s">
        <v>11</v>
      </c>
      <c r="C44" s="2">
        <v>0.92248391669429397</v>
      </c>
      <c r="D44" s="2">
        <v>0.26961272041920498</v>
      </c>
      <c r="E44" s="2">
        <v>3.4273501618426599E-3</v>
      </c>
      <c r="F44" s="2">
        <v>4.5369239228099803E-3</v>
      </c>
      <c r="G44" s="2">
        <v>1.94149069561972E-2</v>
      </c>
      <c r="H44" s="2">
        <f t="shared" si="2"/>
        <v>0.62549201523423914</v>
      </c>
      <c r="J44">
        <f t="shared" si="3"/>
        <v>0.27757699450385759</v>
      </c>
      <c r="X44" s="3">
        <f t="shared" si="1"/>
        <v>7.7516083305706029E-2</v>
      </c>
    </row>
    <row r="45" spans="1:24" x14ac:dyDescent="0.3">
      <c r="A45" s="2">
        <v>22</v>
      </c>
      <c r="B45" s="2" t="s">
        <v>9</v>
      </c>
      <c r="C45" s="2">
        <v>0.922397586232654</v>
      </c>
      <c r="D45" s="2">
        <v>0.27400640066610199</v>
      </c>
      <c r="E45" s="2">
        <v>3.2794054879185198E-3</v>
      </c>
      <c r="F45" s="2">
        <v>4.6191158606332296E-3</v>
      </c>
      <c r="G45" s="2">
        <v>2.30223849425461E-2</v>
      </c>
      <c r="H45" s="2">
        <f>C45-(D45+E45+F45+G45)</f>
        <v>0.61747027927545417</v>
      </c>
      <c r="J45">
        <f t="shared" si="3"/>
        <v>0.28190492201465372</v>
      </c>
      <c r="X45" s="3">
        <f t="shared" si="1"/>
        <v>7.7602413767346001E-2</v>
      </c>
    </row>
    <row r="46" spans="1:24" x14ac:dyDescent="0.3">
      <c r="A46" s="1">
        <v>24</v>
      </c>
      <c r="B46" s="1" t="s">
        <v>3</v>
      </c>
      <c r="C46" s="1">
        <v>1</v>
      </c>
      <c r="D46" s="1">
        <v>0.22361213203638</v>
      </c>
      <c r="E46" s="1">
        <v>3.8558117579632601E-3</v>
      </c>
      <c r="F46" s="1">
        <v>3.6148307522857501E-3</v>
      </c>
      <c r="G46" s="1">
        <v>0</v>
      </c>
      <c r="H46" s="1">
        <f t="shared" si="2"/>
        <v>0.76891722545337093</v>
      </c>
      <c r="J46">
        <f t="shared" si="3"/>
        <v>0.23108277454662901</v>
      </c>
      <c r="L46">
        <f>AVERAGE(C47:C49)</f>
        <v>0.92015310407469997</v>
      </c>
      <c r="M46">
        <f>C46-L46</f>
        <v>7.9846895925300032E-2</v>
      </c>
      <c r="X46" s="3">
        <f t="shared" si="1"/>
        <v>0</v>
      </c>
    </row>
    <row r="47" spans="1:24" x14ac:dyDescent="0.3">
      <c r="A47" s="1">
        <v>24</v>
      </c>
      <c r="B47" s="1" t="s">
        <v>10</v>
      </c>
      <c r="C47" s="1">
        <v>0.92015310407469997</v>
      </c>
      <c r="D47" s="1">
        <v>0.24525645945407401</v>
      </c>
      <c r="E47" s="1">
        <v>3.08464940550305E-3</v>
      </c>
      <c r="F47" s="1">
        <v>4.3136898854176696E-3</v>
      </c>
      <c r="G47" s="1">
        <v>1.94655533168979E-2</v>
      </c>
      <c r="H47" s="1">
        <f t="shared" si="2"/>
        <v>0.6480327520128073</v>
      </c>
      <c r="J47">
        <f t="shared" si="3"/>
        <v>0.25265479874499475</v>
      </c>
      <c r="L47">
        <f>AVERAGE(J47:J49)</f>
        <v>0.2548339454227605</v>
      </c>
      <c r="M47">
        <f>L47-J46</f>
        <v>2.3751170876131489E-2</v>
      </c>
      <c r="X47" s="3">
        <f t="shared" si="1"/>
        <v>7.9846895925300032E-2</v>
      </c>
    </row>
    <row r="48" spans="1:24" x14ac:dyDescent="0.3">
      <c r="A48" s="1">
        <v>24</v>
      </c>
      <c r="B48" s="1" t="s">
        <v>11</v>
      </c>
      <c r="C48" s="1">
        <v>0.92015310407469997</v>
      </c>
      <c r="D48" s="1">
        <v>0.24502150554053401</v>
      </c>
      <c r="E48" s="1">
        <v>3.08464940550305E-3</v>
      </c>
      <c r="F48" s="1">
        <v>4.3136898854176696E-3</v>
      </c>
      <c r="G48" s="1">
        <v>1.94655533168979E-2</v>
      </c>
      <c r="H48" s="1">
        <f t="shared" si="2"/>
        <v>0.6482677059263473</v>
      </c>
      <c r="J48">
        <f t="shared" si="3"/>
        <v>0.25241984483145474</v>
      </c>
      <c r="X48" s="3">
        <f t="shared" si="1"/>
        <v>7.9846895925300032E-2</v>
      </c>
    </row>
    <row r="49" spans="1:24" x14ac:dyDescent="0.3">
      <c r="A49" s="1">
        <v>24</v>
      </c>
      <c r="B49" s="1" t="s">
        <v>9</v>
      </c>
      <c r="C49" s="1">
        <v>0.92015310407469997</v>
      </c>
      <c r="D49" s="1">
        <v>0.25212524821022098</v>
      </c>
      <c r="E49" s="1">
        <v>2.9400564660434299E-3</v>
      </c>
      <c r="F49" s="1">
        <v>4.3618880155675997E-3</v>
      </c>
      <c r="G49" s="1">
        <v>1.9471595374403902E-2</v>
      </c>
      <c r="H49" s="1">
        <f>C49-(D49+E49+F49+G49)</f>
        <v>0.64125431600846405</v>
      </c>
      <c r="J49">
        <f t="shared" si="3"/>
        <v>0.25942719269183201</v>
      </c>
      <c r="X49" s="3">
        <f t="shared" si="1"/>
        <v>7.9846895925300032E-2</v>
      </c>
    </row>
    <row r="50" spans="1:24" x14ac:dyDescent="0.3">
      <c r="A50" s="2">
        <v>26</v>
      </c>
      <c r="B50" s="2" t="s">
        <v>3</v>
      </c>
      <c r="C50" s="2">
        <v>1</v>
      </c>
      <c r="D50" s="2">
        <v>0.20777127456991601</v>
      </c>
      <c r="E50" s="2">
        <v>3.5687928348287299E-3</v>
      </c>
      <c r="F50" s="2">
        <v>3.4322779751721501E-3</v>
      </c>
      <c r="G50" s="2">
        <v>0</v>
      </c>
      <c r="H50" s="2">
        <f t="shared" si="2"/>
        <v>0.78522765462008315</v>
      </c>
      <c r="J50">
        <f t="shared" si="3"/>
        <v>0.21477234537991688</v>
      </c>
      <c r="L50">
        <f>AVERAGE(C51:C53)</f>
        <v>0.93144333311840499</v>
      </c>
      <c r="M50">
        <f>C50-L50</f>
        <v>6.8556666881595008E-2</v>
      </c>
      <c r="X50" s="3">
        <f t="shared" si="1"/>
        <v>0</v>
      </c>
    </row>
    <row r="51" spans="1:24" x14ac:dyDescent="0.3">
      <c r="A51" s="2">
        <v>26</v>
      </c>
      <c r="B51" s="2" t="s">
        <v>10</v>
      </c>
      <c r="C51" s="2">
        <v>0.93144333311840499</v>
      </c>
      <c r="D51" s="2">
        <v>0.227025806616663</v>
      </c>
      <c r="E51" s="2">
        <v>2.8784374816591498E-3</v>
      </c>
      <c r="F51" s="2">
        <v>4.0563320656063599E-3</v>
      </c>
      <c r="G51" s="2">
        <v>1.6732176650330999E-2</v>
      </c>
      <c r="H51" s="2">
        <f t="shared" si="2"/>
        <v>0.68075058030414548</v>
      </c>
      <c r="J51">
        <f t="shared" si="3"/>
        <v>0.23396057616392849</v>
      </c>
      <c r="L51">
        <f>AVERAGE(J51:J53)</f>
        <v>0.23509277973142573</v>
      </c>
      <c r="M51">
        <f>L51-J50</f>
        <v>2.0320434351508848E-2</v>
      </c>
      <c r="X51" s="3">
        <f t="shared" si="1"/>
        <v>6.8556666881595008E-2</v>
      </c>
    </row>
    <row r="52" spans="1:24" x14ac:dyDescent="0.3">
      <c r="A52" s="2">
        <v>26</v>
      </c>
      <c r="B52" s="2" t="s">
        <v>11</v>
      </c>
      <c r="C52" s="2">
        <v>0.93144333311840499</v>
      </c>
      <c r="D52" s="2">
        <v>0.22679764756353499</v>
      </c>
      <c r="E52" s="2">
        <v>2.8784374816591498E-3</v>
      </c>
      <c r="F52" s="2">
        <v>4.0563320656063599E-3</v>
      </c>
      <c r="G52" s="2">
        <v>1.6732176650330999E-2</v>
      </c>
      <c r="H52" s="2">
        <f t="shared" si="2"/>
        <v>0.68097873935727349</v>
      </c>
      <c r="J52">
        <f t="shared" si="3"/>
        <v>0.23373241711080048</v>
      </c>
      <c r="X52" s="3">
        <f t="shared" si="1"/>
        <v>6.8556666881595008E-2</v>
      </c>
    </row>
    <row r="53" spans="1:24" x14ac:dyDescent="0.3">
      <c r="A53" s="2">
        <v>26</v>
      </c>
      <c r="B53" s="2" t="s">
        <v>9</v>
      </c>
      <c r="C53" s="2">
        <v>0.93144333311840499</v>
      </c>
      <c r="D53" s="2">
        <v>0.230728581677034</v>
      </c>
      <c r="E53" s="2">
        <v>2.7848305073454498E-3</v>
      </c>
      <c r="F53" s="2">
        <v>4.0719337351687703E-3</v>
      </c>
      <c r="G53" s="2">
        <v>1.8396326130580499E-2</v>
      </c>
      <c r="H53" s="2">
        <f>C53-(D53+E53+F53+G53)</f>
        <v>0.67546166106827621</v>
      </c>
      <c r="J53">
        <f t="shared" si="3"/>
        <v>0.23758534591954822</v>
      </c>
      <c r="X53" s="3">
        <f t="shared" si="1"/>
        <v>6.8556666881595008E-2</v>
      </c>
    </row>
    <row r="54" spans="1:24" x14ac:dyDescent="0.3">
      <c r="A54" s="1">
        <v>28</v>
      </c>
      <c r="B54" s="1" t="s">
        <v>3</v>
      </c>
      <c r="C54" s="1">
        <v>1</v>
      </c>
      <c r="D54" s="1">
        <v>0.19330997656780499</v>
      </c>
      <c r="E54" s="1">
        <v>3.3028232075742398E-3</v>
      </c>
      <c r="F54" s="1">
        <v>3.22751347978549E-3</v>
      </c>
      <c r="G54" s="1">
        <v>0</v>
      </c>
      <c r="H54" s="1">
        <f t="shared" si="2"/>
        <v>0.80015968674483529</v>
      </c>
      <c r="J54">
        <f t="shared" si="3"/>
        <v>0.19984031325516471</v>
      </c>
      <c r="L54">
        <f>AVERAGE(C55:C57)</f>
        <v>0.936143627841313</v>
      </c>
      <c r="M54">
        <f>C54-L54</f>
        <v>6.3856372158687003E-2</v>
      </c>
      <c r="X54" s="3">
        <f t="shared" si="1"/>
        <v>0</v>
      </c>
    </row>
    <row r="55" spans="1:24" x14ac:dyDescent="0.3">
      <c r="A55" s="1">
        <v>28</v>
      </c>
      <c r="B55" s="1" t="s">
        <v>10</v>
      </c>
      <c r="C55" s="1">
        <v>0.936143627841313</v>
      </c>
      <c r="D55" s="1">
        <v>0.21006540434733101</v>
      </c>
      <c r="E55" s="1">
        <v>2.6465634120933102E-3</v>
      </c>
      <c r="F55" s="1">
        <v>3.83716068952898E-3</v>
      </c>
      <c r="G55" s="1">
        <v>1.6187255592166098E-2</v>
      </c>
      <c r="H55" s="1">
        <f t="shared" si="2"/>
        <v>0.70340724380019359</v>
      </c>
      <c r="J55">
        <f t="shared" si="3"/>
        <v>0.2165491284489533</v>
      </c>
      <c r="L55">
        <f>AVERAGE(J55:J57)</f>
        <v>0.21717294975597864</v>
      </c>
      <c r="M55">
        <f>L55-J54</f>
        <v>1.733263650081393E-2</v>
      </c>
      <c r="X55" s="3">
        <f t="shared" si="1"/>
        <v>6.3856372158687003E-2</v>
      </c>
    </row>
    <row r="56" spans="1:24" x14ac:dyDescent="0.3">
      <c r="A56" s="1">
        <v>28</v>
      </c>
      <c r="B56" s="1" t="s">
        <v>11</v>
      </c>
      <c r="C56" s="1">
        <v>0.936143627841313</v>
      </c>
      <c r="D56" s="1">
        <v>0.21002151039445</v>
      </c>
      <c r="E56" s="1">
        <v>2.6358053117165499E-3</v>
      </c>
      <c r="F56" s="1">
        <v>3.8228158824333098E-3</v>
      </c>
      <c r="G56" s="1">
        <v>1.6157282719591201E-2</v>
      </c>
      <c r="H56" s="1">
        <f t="shared" si="2"/>
        <v>0.70350621353312193</v>
      </c>
      <c r="J56">
        <f t="shared" si="3"/>
        <v>0.21648013158859986</v>
      </c>
      <c r="X56" s="3">
        <f t="shared" si="1"/>
        <v>6.3856372158687003E-2</v>
      </c>
    </row>
    <row r="57" spans="1:24" x14ac:dyDescent="0.3">
      <c r="A57" s="1">
        <v>28</v>
      </c>
      <c r="B57" s="1" t="s">
        <v>9</v>
      </c>
      <c r="C57" s="1">
        <v>0.936143627841313</v>
      </c>
      <c r="D57" s="1">
        <v>0.21206683105482499</v>
      </c>
      <c r="E57" s="1">
        <v>2.59277089494806E-3</v>
      </c>
      <c r="F57" s="1">
        <v>3.82998728060969E-3</v>
      </c>
      <c r="G57" s="1">
        <v>1.5859196736909598E-2</v>
      </c>
      <c r="H57" s="1">
        <f>C57-(D57+E57+F57+G57)</f>
        <v>0.70179484187402064</v>
      </c>
      <c r="J57">
        <f t="shared" si="3"/>
        <v>0.21848958923038272</v>
      </c>
      <c r="X57" s="3">
        <f t="shared" si="1"/>
        <v>6.3856372158687003E-2</v>
      </c>
    </row>
    <row r="58" spans="1:24" x14ac:dyDescent="0.3">
      <c r="A58" s="2">
        <v>30</v>
      </c>
      <c r="B58" s="2" t="s">
        <v>3</v>
      </c>
      <c r="C58" s="2">
        <v>1</v>
      </c>
      <c r="D58" s="2">
        <v>0.18148260848401301</v>
      </c>
      <c r="E58" s="2">
        <v>3.1001811535839199E-3</v>
      </c>
      <c r="F58" s="2">
        <v>3.0593816480782702E-3</v>
      </c>
      <c r="G58" s="2">
        <v>0</v>
      </c>
      <c r="H58" s="2">
        <f t="shared" si="2"/>
        <v>0.81235782871432483</v>
      </c>
      <c r="J58">
        <f t="shared" si="3"/>
        <v>0.1876421712856752</v>
      </c>
      <c r="L58">
        <f>AVERAGE(C59:C61)</f>
        <v>0.93763306218120501</v>
      </c>
      <c r="M58">
        <f>C58-L58</f>
        <v>6.2366937818794987E-2</v>
      </c>
      <c r="X58" s="3">
        <f t="shared" si="1"/>
        <v>0</v>
      </c>
    </row>
    <row r="59" spans="1:24" x14ac:dyDescent="0.3">
      <c r="A59" s="2">
        <v>30</v>
      </c>
      <c r="B59" s="2" t="s">
        <v>10</v>
      </c>
      <c r="C59" s="2">
        <v>0.93763306218120501</v>
      </c>
      <c r="D59" s="2">
        <v>0.19715634120691</v>
      </c>
      <c r="E59" s="2">
        <v>2.4577094013080998E-3</v>
      </c>
      <c r="F59" s="2">
        <v>3.62367631550614E-3</v>
      </c>
      <c r="G59" s="2">
        <v>1.4749114388369599E-2</v>
      </c>
      <c r="H59" s="2">
        <f t="shared" si="2"/>
        <v>0.71964622086911123</v>
      </c>
      <c r="J59">
        <f t="shared" si="3"/>
        <v>0.20323772692372424</v>
      </c>
      <c r="L59">
        <f>AVERAGE(J59:J61)</f>
        <v>0.2048089775979369</v>
      </c>
      <c r="M59">
        <f>L59-J58</f>
        <v>1.7166806312261695E-2</v>
      </c>
      <c r="X59" s="3">
        <f t="shared" si="1"/>
        <v>6.2366937818794987E-2</v>
      </c>
    </row>
    <row r="60" spans="1:24" x14ac:dyDescent="0.3">
      <c r="A60" s="2">
        <v>30</v>
      </c>
      <c r="B60" s="2" t="s">
        <v>11</v>
      </c>
      <c r="C60" s="2">
        <v>0.93763306218120501</v>
      </c>
      <c r="D60" s="2">
        <v>0.196957488558756</v>
      </c>
      <c r="E60" s="2">
        <v>2.4577094013080998E-3</v>
      </c>
      <c r="F60" s="2">
        <v>3.62367631550614E-3</v>
      </c>
      <c r="G60" s="2">
        <v>1.4749114388369599E-2</v>
      </c>
      <c r="H60" s="2">
        <f t="shared" si="2"/>
        <v>0.71984507351726523</v>
      </c>
      <c r="J60">
        <f t="shared" si="3"/>
        <v>0.20303887427557024</v>
      </c>
      <c r="X60" s="3">
        <f t="shared" si="1"/>
        <v>6.2366937818794987E-2</v>
      </c>
    </row>
    <row r="61" spans="1:24" ht="25.8" x14ac:dyDescent="0.3">
      <c r="A61" s="2">
        <v>30</v>
      </c>
      <c r="B61" s="2" t="s">
        <v>9</v>
      </c>
      <c r="C61" s="2">
        <v>0.93763306218120501</v>
      </c>
      <c r="D61" s="2">
        <v>0.202157328064172</v>
      </c>
      <c r="E61" s="2">
        <v>2.3761256880081398E-3</v>
      </c>
      <c r="F61" s="2">
        <v>3.61687784233604E-3</v>
      </c>
      <c r="G61" s="2">
        <v>1.3277365592912E-2</v>
      </c>
      <c r="H61" s="2">
        <f>C61-(D61+E61+F61+G61)</f>
        <v>0.71620536499377685</v>
      </c>
      <c r="J61">
        <f t="shared" si="3"/>
        <v>0.20815033159451618</v>
      </c>
      <c r="V61" s="4" t="s">
        <v>18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aggregate_res_10d_out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Giulio Attenni</cp:lastModifiedBy>
  <dcterms:created xsi:type="dcterms:W3CDTF">2022-06-20T19:56:30Z</dcterms:created>
  <dcterms:modified xsi:type="dcterms:W3CDTF">2022-06-21T16:12:04Z</dcterms:modified>
</cp:coreProperties>
</file>